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ara\kai_files\michigan\tag_matching\TagPartnerChoice_journal\analysis\stats\"/>
    </mc:Choice>
  </mc:AlternateContent>
  <xr:revisionPtr revIDLastSave="0" documentId="13_ncr:1_{271ACC27-29C9-4AED-B448-671537FAD234}" xr6:coauthVersionLast="47" xr6:coauthVersionMax="47" xr10:uidLastSave="{00000000-0000-0000-0000-000000000000}"/>
  <bookViews>
    <workbookView xWindow="-98" yWindow="-98" windowWidth="28996" windowHeight="15675" xr2:uid="{F62D89D0-1C00-4351-A9C4-EF36415F13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K26" i="1" s="1"/>
  <c r="L26" i="1" s="1"/>
  <c r="H2" i="1"/>
  <c r="K2" i="1" s="1"/>
  <c r="L2" i="1" s="1"/>
  <c r="N132" i="1"/>
  <c r="K132" i="1"/>
  <c r="L132" i="1" s="1"/>
  <c r="I132" i="1"/>
  <c r="J132" i="1" s="1"/>
  <c r="N131" i="1"/>
  <c r="L131" i="1"/>
  <c r="K131" i="1"/>
  <c r="I131" i="1"/>
  <c r="J131" i="1" s="1"/>
  <c r="N130" i="1"/>
  <c r="K130" i="1"/>
  <c r="L130" i="1" s="1"/>
  <c r="I130" i="1"/>
  <c r="J130" i="1" s="1"/>
  <c r="N129" i="1"/>
  <c r="K129" i="1"/>
  <c r="L129" i="1" s="1"/>
  <c r="I129" i="1"/>
  <c r="J129" i="1" s="1"/>
  <c r="N128" i="1"/>
  <c r="K128" i="1"/>
  <c r="L128" i="1" s="1"/>
  <c r="J128" i="1"/>
  <c r="I128" i="1"/>
  <c r="N127" i="1"/>
  <c r="K127" i="1"/>
  <c r="L127" i="1" s="1"/>
  <c r="I127" i="1"/>
  <c r="J127" i="1" s="1"/>
  <c r="N126" i="1"/>
  <c r="L126" i="1"/>
  <c r="K126" i="1"/>
  <c r="I126" i="1"/>
  <c r="J126" i="1" s="1"/>
  <c r="N125" i="1"/>
  <c r="L125" i="1"/>
  <c r="K125" i="1"/>
  <c r="I125" i="1"/>
  <c r="J125" i="1" s="1"/>
  <c r="N124" i="1"/>
  <c r="K124" i="1"/>
  <c r="L124" i="1" s="1"/>
  <c r="I124" i="1"/>
  <c r="J124" i="1" s="1"/>
  <c r="N123" i="1"/>
  <c r="K123" i="1"/>
  <c r="L123" i="1" s="1"/>
  <c r="I123" i="1"/>
  <c r="J123" i="1" s="1"/>
  <c r="N122" i="1"/>
  <c r="K122" i="1"/>
  <c r="L122" i="1" s="1"/>
  <c r="I122" i="1"/>
  <c r="J122" i="1" s="1"/>
  <c r="N121" i="1"/>
  <c r="K121" i="1"/>
  <c r="L121" i="1" s="1"/>
  <c r="I121" i="1"/>
  <c r="J121" i="1" s="1"/>
  <c r="N120" i="1"/>
  <c r="K120" i="1"/>
  <c r="L120" i="1" s="1"/>
  <c r="I120" i="1"/>
  <c r="J120" i="1" s="1"/>
  <c r="N119" i="1"/>
  <c r="K119" i="1"/>
  <c r="L119" i="1" s="1"/>
  <c r="I119" i="1"/>
  <c r="J119" i="1" s="1"/>
  <c r="N118" i="1"/>
  <c r="L118" i="1"/>
  <c r="K118" i="1"/>
  <c r="I118" i="1"/>
  <c r="J118" i="1" s="1"/>
  <c r="N117" i="1"/>
  <c r="K117" i="1"/>
  <c r="L117" i="1" s="1"/>
  <c r="J117" i="1"/>
  <c r="I117" i="1"/>
  <c r="N116" i="1"/>
  <c r="K116" i="1"/>
  <c r="L116" i="1" s="1"/>
  <c r="J116" i="1"/>
  <c r="I116" i="1"/>
  <c r="N115" i="1"/>
  <c r="K115" i="1"/>
  <c r="L115" i="1" s="1"/>
  <c r="I115" i="1"/>
  <c r="J115" i="1" s="1"/>
  <c r="H69" i="1"/>
  <c r="K69" i="1" s="1"/>
  <c r="L69" i="1" s="1"/>
  <c r="H70" i="1"/>
  <c r="K70" i="1" s="1"/>
  <c r="L70" i="1" s="1"/>
  <c r="H71" i="1"/>
  <c r="K71" i="1" s="1"/>
  <c r="L71" i="1" s="1"/>
  <c r="H72" i="1"/>
  <c r="I72" i="1" s="1"/>
  <c r="J72" i="1" s="1"/>
  <c r="H73" i="1"/>
  <c r="H74" i="1"/>
  <c r="K74" i="1" s="1"/>
  <c r="L74" i="1" s="1"/>
  <c r="H75" i="1"/>
  <c r="H76" i="1"/>
  <c r="I76" i="1" s="1"/>
  <c r="J76" i="1" s="1"/>
  <c r="H77" i="1"/>
  <c r="I77" i="1" s="1"/>
  <c r="J77" i="1" s="1"/>
  <c r="H78" i="1"/>
  <c r="K78" i="1" s="1"/>
  <c r="L78" i="1" s="1"/>
  <c r="H79" i="1"/>
  <c r="K79" i="1" s="1"/>
  <c r="L79" i="1" s="1"/>
  <c r="H80" i="1"/>
  <c r="I80" i="1" s="1"/>
  <c r="J80" i="1" s="1"/>
  <c r="H81" i="1"/>
  <c r="K81" i="1" s="1"/>
  <c r="L81" i="1" s="1"/>
  <c r="H82" i="1"/>
  <c r="K82" i="1" s="1"/>
  <c r="L82" i="1" s="1"/>
  <c r="H83" i="1"/>
  <c r="K83" i="1" s="1"/>
  <c r="L83" i="1" s="1"/>
  <c r="H84" i="1"/>
  <c r="I84" i="1" s="1"/>
  <c r="J84" i="1" s="1"/>
  <c r="H85" i="1"/>
  <c r="I85" i="1" s="1"/>
  <c r="J85" i="1" s="1"/>
  <c r="H86" i="1"/>
  <c r="I86" i="1" s="1"/>
  <c r="J86" i="1" s="1"/>
  <c r="H87" i="1"/>
  <c r="H88" i="1"/>
  <c r="H89" i="1"/>
  <c r="I89" i="1" s="1"/>
  <c r="J89" i="1" s="1"/>
  <c r="H90" i="1"/>
  <c r="K90" i="1" s="1"/>
  <c r="L90" i="1" s="1"/>
  <c r="H91" i="1"/>
  <c r="K91" i="1" s="1"/>
  <c r="L91" i="1" s="1"/>
  <c r="H92" i="1"/>
  <c r="I92" i="1" s="1"/>
  <c r="J92" i="1" s="1"/>
  <c r="H93" i="1"/>
  <c r="K93" i="1" s="1"/>
  <c r="L93" i="1" s="1"/>
  <c r="H94" i="1"/>
  <c r="H95" i="1"/>
  <c r="I95" i="1" s="1"/>
  <c r="J95" i="1" s="1"/>
  <c r="H96" i="1"/>
  <c r="K96" i="1" s="1"/>
  <c r="L96" i="1" s="1"/>
  <c r="K75" i="1"/>
  <c r="L75" i="1" s="1"/>
  <c r="H233" i="1"/>
  <c r="K233" i="1" s="1"/>
  <c r="L233" i="1" s="1"/>
  <c r="H234" i="1"/>
  <c r="I234" i="1" s="1"/>
  <c r="J234" i="1" s="1"/>
  <c r="H235" i="1"/>
  <c r="I235" i="1" s="1"/>
  <c r="H236" i="1"/>
  <c r="I236" i="1" s="1"/>
  <c r="H237" i="1"/>
  <c r="K237" i="1" s="1"/>
  <c r="L237" i="1" s="1"/>
  <c r="H238" i="1"/>
  <c r="I238" i="1" s="1"/>
  <c r="H239" i="1"/>
  <c r="K239" i="1" s="1"/>
  <c r="L239" i="1" s="1"/>
  <c r="H240" i="1"/>
  <c r="K240" i="1" s="1"/>
  <c r="L240" i="1" s="1"/>
  <c r="H241" i="1"/>
  <c r="I241" i="1" s="1"/>
  <c r="J241" i="1" s="1"/>
  <c r="H242" i="1"/>
  <c r="I242" i="1" s="1"/>
  <c r="H243" i="1"/>
  <c r="I243" i="1" s="1"/>
  <c r="J243" i="1" s="1"/>
  <c r="H244" i="1"/>
  <c r="I244" i="1" s="1"/>
  <c r="H245" i="1"/>
  <c r="I245" i="1" s="1"/>
  <c r="J245" i="1" s="1"/>
  <c r="H246" i="1"/>
  <c r="K246" i="1" s="1"/>
  <c r="L246" i="1" s="1"/>
  <c r="H247" i="1"/>
  <c r="I247" i="1" s="1"/>
  <c r="H248" i="1"/>
  <c r="K248" i="1" s="1"/>
  <c r="L248" i="1" s="1"/>
  <c r="H249" i="1"/>
  <c r="I249" i="1" s="1"/>
  <c r="H304" i="1"/>
  <c r="K304" i="1" s="1"/>
  <c r="L304" i="1" s="1"/>
  <c r="H303" i="1"/>
  <c r="K303" i="1" s="1"/>
  <c r="L303" i="1" s="1"/>
  <c r="H302" i="1"/>
  <c r="K302" i="1" s="1"/>
  <c r="L302" i="1" s="1"/>
  <c r="H301" i="1"/>
  <c r="K301" i="1" s="1"/>
  <c r="L301" i="1" s="1"/>
  <c r="H300" i="1"/>
  <c r="K300" i="1" s="1"/>
  <c r="L300" i="1" s="1"/>
  <c r="H299" i="1"/>
  <c r="I299" i="1" s="1"/>
  <c r="J299" i="1" s="1"/>
  <c r="H298" i="1"/>
  <c r="K298" i="1" s="1"/>
  <c r="L298" i="1" s="1"/>
  <c r="H297" i="1"/>
  <c r="K297" i="1" s="1"/>
  <c r="L297" i="1" s="1"/>
  <c r="H296" i="1"/>
  <c r="I296" i="1" s="1"/>
  <c r="J296" i="1" s="1"/>
  <c r="H295" i="1"/>
  <c r="K295" i="1" s="1"/>
  <c r="L295" i="1" s="1"/>
  <c r="H294" i="1"/>
  <c r="K294" i="1" s="1"/>
  <c r="L294" i="1" s="1"/>
  <c r="H293" i="1"/>
  <c r="K293" i="1" s="1"/>
  <c r="L293" i="1" s="1"/>
  <c r="H292" i="1"/>
  <c r="H291" i="1"/>
  <c r="I291" i="1" s="1"/>
  <c r="J291" i="1" s="1"/>
  <c r="H290" i="1"/>
  <c r="H289" i="1"/>
  <c r="K289" i="1" s="1"/>
  <c r="L289" i="1" s="1"/>
  <c r="H288" i="1"/>
  <c r="I288" i="1" s="1"/>
  <c r="J288" i="1" s="1"/>
  <c r="H287" i="1"/>
  <c r="H286" i="1"/>
  <c r="H285" i="1"/>
  <c r="K285" i="1" s="1"/>
  <c r="L285" i="1" s="1"/>
  <c r="H284" i="1"/>
  <c r="K284" i="1" s="1"/>
  <c r="L284" i="1" s="1"/>
  <c r="H283" i="1"/>
  <c r="K283" i="1" s="1"/>
  <c r="L283" i="1" s="1"/>
  <c r="H282" i="1"/>
  <c r="K282" i="1" s="1"/>
  <c r="L282" i="1" s="1"/>
  <c r="H281" i="1"/>
  <c r="K281" i="1" s="1"/>
  <c r="L281" i="1" s="1"/>
  <c r="H280" i="1"/>
  <c r="I280" i="1" s="1"/>
  <c r="J280" i="1" s="1"/>
  <c r="H279" i="1"/>
  <c r="K279" i="1" s="1"/>
  <c r="L279" i="1" s="1"/>
  <c r="H278" i="1"/>
  <c r="K278" i="1" s="1"/>
  <c r="L278" i="1" s="1"/>
  <c r="H277" i="1"/>
  <c r="K277" i="1" s="1"/>
  <c r="L277" i="1" s="1"/>
  <c r="H276" i="1"/>
  <c r="K276" i="1" s="1"/>
  <c r="L276" i="1" s="1"/>
  <c r="H275" i="1"/>
  <c r="I275" i="1" s="1"/>
  <c r="J275" i="1" s="1"/>
  <c r="H274" i="1"/>
  <c r="K274" i="1" s="1"/>
  <c r="L274" i="1" s="1"/>
  <c r="H273" i="1"/>
  <c r="K273" i="1" s="1"/>
  <c r="L273" i="1" s="1"/>
  <c r="H272" i="1"/>
  <c r="H271" i="1"/>
  <c r="K271" i="1" s="1"/>
  <c r="L271" i="1" s="1"/>
  <c r="H270" i="1"/>
  <c r="K270" i="1" s="1"/>
  <c r="L270" i="1" s="1"/>
  <c r="H269" i="1"/>
  <c r="K269" i="1" s="1"/>
  <c r="L269" i="1" s="1"/>
  <c r="H268" i="1"/>
  <c r="I268" i="1" s="1"/>
  <c r="J268" i="1" s="1"/>
  <c r="H267" i="1"/>
  <c r="I267" i="1" s="1"/>
  <c r="J267" i="1" s="1"/>
  <c r="H266" i="1"/>
  <c r="K266" i="1" s="1"/>
  <c r="L266" i="1" s="1"/>
  <c r="H265" i="1"/>
  <c r="K265" i="1" s="1"/>
  <c r="L265" i="1" s="1"/>
  <c r="H264" i="1"/>
  <c r="K264" i="1" s="1"/>
  <c r="L264" i="1" s="1"/>
  <c r="H263" i="1"/>
  <c r="K263" i="1" s="1"/>
  <c r="L263" i="1" s="1"/>
  <c r="H262" i="1"/>
  <c r="K262" i="1" s="1"/>
  <c r="L262" i="1" s="1"/>
  <c r="H261" i="1"/>
  <c r="K261" i="1" s="1"/>
  <c r="L261" i="1" s="1"/>
  <c r="H260" i="1"/>
  <c r="I260" i="1" s="1"/>
  <c r="J260" i="1" s="1"/>
  <c r="H259" i="1"/>
  <c r="I259" i="1" s="1"/>
  <c r="J259" i="1" s="1"/>
  <c r="H258" i="1"/>
  <c r="K258" i="1" s="1"/>
  <c r="L258" i="1" s="1"/>
  <c r="H257" i="1"/>
  <c r="K257" i="1" s="1"/>
  <c r="L257" i="1" s="1"/>
  <c r="H256" i="1"/>
  <c r="K256" i="1" s="1"/>
  <c r="L256" i="1" s="1"/>
  <c r="H255" i="1"/>
  <c r="K255" i="1" s="1"/>
  <c r="L255" i="1" s="1"/>
  <c r="H254" i="1"/>
  <c r="K254" i="1" s="1"/>
  <c r="L254" i="1" s="1"/>
  <c r="H253" i="1"/>
  <c r="K253" i="1" s="1"/>
  <c r="L253" i="1" s="1"/>
  <c r="H252" i="1"/>
  <c r="K252" i="1" s="1"/>
  <c r="L252" i="1" s="1"/>
  <c r="H251" i="1"/>
  <c r="I251" i="1" s="1"/>
  <c r="J251" i="1" s="1"/>
  <c r="H250" i="1"/>
  <c r="K250" i="1" s="1"/>
  <c r="L250" i="1" s="1"/>
  <c r="H232" i="1"/>
  <c r="I232" i="1" s="1"/>
  <c r="J232" i="1" s="1"/>
  <c r="H231" i="1"/>
  <c r="K231" i="1" s="1"/>
  <c r="L231" i="1" s="1"/>
  <c r="H230" i="1"/>
  <c r="I230" i="1" s="1"/>
  <c r="J230" i="1" s="1"/>
  <c r="H229" i="1"/>
  <c r="H228" i="1"/>
  <c r="K228" i="1" s="1"/>
  <c r="L228" i="1" s="1"/>
  <c r="H227" i="1"/>
  <c r="K227" i="1" s="1"/>
  <c r="L227" i="1" s="1"/>
  <c r="H226" i="1"/>
  <c r="K226" i="1" s="1"/>
  <c r="L226" i="1" s="1"/>
  <c r="H225" i="1"/>
  <c r="H224" i="1"/>
  <c r="I224" i="1" s="1"/>
  <c r="J224" i="1" s="1"/>
  <c r="H223" i="1"/>
  <c r="H222" i="1"/>
  <c r="K222" i="1" s="1"/>
  <c r="L222" i="1" s="1"/>
  <c r="H221" i="1"/>
  <c r="I221" i="1" s="1"/>
  <c r="J221" i="1" s="1"/>
  <c r="H220" i="1"/>
  <c r="I220" i="1" s="1"/>
  <c r="J220" i="1" s="1"/>
  <c r="H219" i="1"/>
  <c r="I219" i="1" s="1"/>
  <c r="J219" i="1" s="1"/>
  <c r="H218" i="1"/>
  <c r="K218" i="1" s="1"/>
  <c r="L218" i="1" s="1"/>
  <c r="H217" i="1"/>
  <c r="K217" i="1" s="1"/>
  <c r="L217" i="1" s="1"/>
  <c r="H216" i="1"/>
  <c r="K216" i="1" s="1"/>
  <c r="L216" i="1" s="1"/>
  <c r="H215" i="1"/>
  <c r="K215" i="1" s="1"/>
  <c r="L215" i="1" s="1"/>
  <c r="H214" i="1"/>
  <c r="I214" i="1" s="1"/>
  <c r="J214" i="1" s="1"/>
  <c r="H213" i="1"/>
  <c r="K213" i="1" s="1"/>
  <c r="L213" i="1" s="1"/>
  <c r="H212" i="1"/>
  <c r="H211" i="1"/>
  <c r="I211" i="1" s="1"/>
  <c r="J211" i="1" s="1"/>
  <c r="H210" i="1"/>
  <c r="K210" i="1" s="1"/>
  <c r="L210" i="1" s="1"/>
  <c r="H209" i="1"/>
  <c r="K209" i="1" s="1"/>
  <c r="L209" i="1" s="1"/>
  <c r="H208" i="1"/>
  <c r="K208" i="1" s="1"/>
  <c r="L208" i="1" s="1"/>
  <c r="H207" i="1"/>
  <c r="K207" i="1" s="1"/>
  <c r="L207" i="1" s="1"/>
  <c r="H206" i="1"/>
  <c r="K206" i="1" s="1"/>
  <c r="L206" i="1" s="1"/>
  <c r="H205" i="1"/>
  <c r="I205" i="1" s="1"/>
  <c r="J205" i="1" s="1"/>
  <c r="H204" i="1"/>
  <c r="H203" i="1"/>
  <c r="H202" i="1"/>
  <c r="K202" i="1" s="1"/>
  <c r="L202" i="1" s="1"/>
  <c r="H201" i="1"/>
  <c r="K201" i="1" s="1"/>
  <c r="L201" i="1" s="1"/>
  <c r="H200" i="1"/>
  <c r="K200" i="1" s="1"/>
  <c r="L200" i="1" s="1"/>
  <c r="H199" i="1"/>
  <c r="H198" i="1"/>
  <c r="K198" i="1" s="1"/>
  <c r="L198" i="1" s="1"/>
  <c r="H197" i="1"/>
  <c r="I197" i="1" s="1"/>
  <c r="J197" i="1" s="1"/>
  <c r="H196" i="1"/>
  <c r="K196" i="1" s="1"/>
  <c r="L196" i="1" s="1"/>
  <c r="H195" i="1"/>
  <c r="H194" i="1"/>
  <c r="K194" i="1" s="1"/>
  <c r="L194" i="1" s="1"/>
  <c r="H193" i="1"/>
  <c r="K193" i="1" s="1"/>
  <c r="L193" i="1" s="1"/>
  <c r="H192" i="1"/>
  <c r="K192" i="1" s="1"/>
  <c r="L192" i="1" s="1"/>
  <c r="H191" i="1"/>
  <c r="H190" i="1"/>
  <c r="K190" i="1" s="1"/>
  <c r="L190" i="1" s="1"/>
  <c r="H189" i="1"/>
  <c r="K189" i="1" s="1"/>
  <c r="L189" i="1" s="1"/>
  <c r="H188" i="1"/>
  <c r="H187" i="1"/>
  <c r="H186" i="1"/>
  <c r="I186" i="1" s="1"/>
  <c r="J186" i="1" s="1"/>
  <c r="H185" i="1"/>
  <c r="I185" i="1" s="1"/>
  <c r="J185" i="1" s="1"/>
  <c r="H184" i="1"/>
  <c r="H183" i="1"/>
  <c r="H182" i="1"/>
  <c r="K182" i="1" s="1"/>
  <c r="L182" i="1" s="1"/>
  <c r="H181" i="1"/>
  <c r="K181" i="1" s="1"/>
  <c r="L181" i="1" s="1"/>
  <c r="H180" i="1"/>
  <c r="H179" i="1"/>
  <c r="H178" i="1"/>
  <c r="K178" i="1" s="1"/>
  <c r="L178" i="1" s="1"/>
  <c r="H177" i="1"/>
  <c r="K177" i="1" s="1"/>
  <c r="L177" i="1" s="1"/>
  <c r="H176" i="1"/>
  <c r="H175" i="1"/>
  <c r="H174" i="1"/>
  <c r="H173" i="1"/>
  <c r="I173" i="1" s="1"/>
  <c r="J173" i="1" s="1"/>
  <c r="H172" i="1"/>
  <c r="H171" i="1"/>
  <c r="H170" i="1"/>
  <c r="K170" i="1" s="1"/>
  <c r="L170" i="1" s="1"/>
  <c r="H169" i="1"/>
  <c r="K169" i="1" s="1"/>
  <c r="L169" i="1" s="1"/>
  <c r="H168" i="1"/>
  <c r="K168" i="1" s="1"/>
  <c r="L168" i="1" s="1"/>
  <c r="H167" i="1"/>
  <c r="H166" i="1"/>
  <c r="K166" i="1" s="1"/>
  <c r="L166" i="1" s="1"/>
  <c r="H165" i="1"/>
  <c r="I165" i="1" s="1"/>
  <c r="J165" i="1" s="1"/>
  <c r="H164" i="1"/>
  <c r="K164" i="1" s="1"/>
  <c r="L164" i="1" s="1"/>
  <c r="H163" i="1"/>
  <c r="H162" i="1"/>
  <c r="K162" i="1" s="1"/>
  <c r="L162" i="1" s="1"/>
  <c r="H161" i="1"/>
  <c r="K161" i="1" s="1"/>
  <c r="L161" i="1" s="1"/>
  <c r="H160" i="1"/>
  <c r="K160" i="1" s="1"/>
  <c r="L160" i="1" s="1"/>
  <c r="H159" i="1"/>
  <c r="H158" i="1"/>
  <c r="K158" i="1" s="1"/>
  <c r="L158" i="1" s="1"/>
  <c r="H157" i="1"/>
  <c r="I157" i="1" s="1"/>
  <c r="J157" i="1" s="1"/>
  <c r="H156" i="1"/>
  <c r="K156" i="1" s="1"/>
  <c r="L156" i="1" s="1"/>
  <c r="H155" i="1"/>
  <c r="H154" i="1"/>
  <c r="K154" i="1" s="1"/>
  <c r="L154" i="1" s="1"/>
  <c r="H153" i="1"/>
  <c r="K153" i="1" s="1"/>
  <c r="L153" i="1" s="1"/>
  <c r="H152" i="1"/>
  <c r="K152" i="1" s="1"/>
  <c r="L152" i="1" s="1"/>
  <c r="H151" i="1"/>
  <c r="H150" i="1"/>
  <c r="K150" i="1" s="1"/>
  <c r="L150" i="1" s="1"/>
  <c r="H149" i="1"/>
  <c r="I149" i="1" s="1"/>
  <c r="J149" i="1" s="1"/>
  <c r="H148" i="1"/>
  <c r="I148" i="1" s="1"/>
  <c r="J148" i="1" s="1"/>
  <c r="H147" i="1"/>
  <c r="H146" i="1"/>
  <c r="I146" i="1" s="1"/>
  <c r="J146" i="1" s="1"/>
  <c r="H145" i="1"/>
  <c r="K145" i="1" s="1"/>
  <c r="L145" i="1" s="1"/>
  <c r="H144" i="1"/>
  <c r="K144" i="1" s="1"/>
  <c r="L144" i="1" s="1"/>
  <c r="H143" i="1"/>
  <c r="H142" i="1"/>
  <c r="K142" i="1" s="1"/>
  <c r="L142" i="1" s="1"/>
  <c r="H141" i="1"/>
  <c r="I141" i="1" s="1"/>
  <c r="J141" i="1" s="1"/>
  <c r="H140" i="1"/>
  <c r="K140" i="1" s="1"/>
  <c r="L140" i="1" s="1"/>
  <c r="H139" i="1"/>
  <c r="H138" i="1"/>
  <c r="K138" i="1" s="1"/>
  <c r="L138" i="1" s="1"/>
  <c r="H137" i="1"/>
  <c r="K137" i="1" s="1"/>
  <c r="L137" i="1" s="1"/>
  <c r="H136" i="1"/>
  <c r="K136" i="1" s="1"/>
  <c r="L136" i="1" s="1"/>
  <c r="H135" i="1"/>
  <c r="H134" i="1"/>
  <c r="I134" i="1" s="1"/>
  <c r="J134" i="1" s="1"/>
  <c r="H133" i="1"/>
  <c r="I133" i="1" s="1"/>
  <c r="J133" i="1" s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K114" i="1" s="1"/>
  <c r="L114" i="1" s="1"/>
  <c r="H113" i="1"/>
  <c r="I113" i="1" s="1"/>
  <c r="J113" i="1" s="1"/>
  <c r="H112" i="1"/>
  <c r="K112" i="1" s="1"/>
  <c r="L112" i="1" s="1"/>
  <c r="H111" i="1"/>
  <c r="K111" i="1" s="1"/>
  <c r="L111" i="1" s="1"/>
  <c r="H110" i="1"/>
  <c r="K110" i="1" s="1"/>
  <c r="L110" i="1" s="1"/>
  <c r="H109" i="1"/>
  <c r="K109" i="1" s="1"/>
  <c r="L109" i="1" s="1"/>
  <c r="H108" i="1"/>
  <c r="I108" i="1" s="1"/>
  <c r="J108" i="1" s="1"/>
  <c r="H107" i="1"/>
  <c r="H106" i="1"/>
  <c r="H105" i="1"/>
  <c r="I105" i="1" s="1"/>
  <c r="J105" i="1" s="1"/>
  <c r="H104" i="1"/>
  <c r="K104" i="1" s="1"/>
  <c r="L104" i="1" s="1"/>
  <c r="H103" i="1"/>
  <c r="I103" i="1" s="1"/>
  <c r="J103" i="1" s="1"/>
  <c r="H102" i="1"/>
  <c r="K102" i="1" s="1"/>
  <c r="L102" i="1" s="1"/>
  <c r="H101" i="1"/>
  <c r="I101" i="1" s="1"/>
  <c r="J101" i="1" s="1"/>
  <c r="H100" i="1"/>
  <c r="K100" i="1" s="1"/>
  <c r="L100" i="1" s="1"/>
  <c r="H99" i="1"/>
  <c r="I99" i="1" s="1"/>
  <c r="J99" i="1" s="1"/>
  <c r="H98" i="1"/>
  <c r="K98" i="1" s="1"/>
  <c r="L98" i="1" s="1"/>
  <c r="H97" i="1"/>
  <c r="K97" i="1" s="1"/>
  <c r="L97" i="1" s="1"/>
  <c r="H68" i="1"/>
  <c r="I68" i="1" s="1"/>
  <c r="J68" i="1" s="1"/>
  <c r="H67" i="1"/>
  <c r="I67" i="1" s="1"/>
  <c r="J67" i="1" s="1"/>
  <c r="H66" i="1"/>
  <c r="K66" i="1" s="1"/>
  <c r="L66" i="1" s="1"/>
  <c r="H65" i="1"/>
  <c r="K65" i="1" s="1"/>
  <c r="L65" i="1" s="1"/>
  <c r="H64" i="1"/>
  <c r="K64" i="1" s="1"/>
  <c r="L64" i="1" s="1"/>
  <c r="H63" i="1"/>
  <c r="I63" i="1" s="1"/>
  <c r="J63" i="1" s="1"/>
  <c r="H62" i="1"/>
  <c r="I62" i="1" s="1"/>
  <c r="J62" i="1" s="1"/>
  <c r="H61" i="1"/>
  <c r="I61" i="1" s="1"/>
  <c r="J61" i="1" s="1"/>
  <c r="H60" i="1"/>
  <c r="H59" i="1"/>
  <c r="H58" i="1"/>
  <c r="H57" i="1"/>
  <c r="K57" i="1" s="1"/>
  <c r="L57" i="1" s="1"/>
  <c r="H56" i="1"/>
  <c r="I56" i="1" s="1"/>
  <c r="J56" i="1" s="1"/>
  <c r="H55" i="1"/>
  <c r="H54" i="1"/>
  <c r="I54" i="1" s="1"/>
  <c r="J54" i="1" s="1"/>
  <c r="H53" i="1"/>
  <c r="K53" i="1" s="1"/>
  <c r="L53" i="1" s="1"/>
  <c r="H52" i="1"/>
  <c r="K52" i="1" s="1"/>
  <c r="L52" i="1" s="1"/>
  <c r="H51" i="1"/>
  <c r="I51" i="1" s="1"/>
  <c r="J51" i="1" s="1"/>
  <c r="H50" i="1"/>
  <c r="K50" i="1" s="1"/>
  <c r="L50" i="1" s="1"/>
  <c r="H49" i="1"/>
  <c r="K49" i="1" s="1"/>
  <c r="L49" i="1" s="1"/>
  <c r="H48" i="1"/>
  <c r="K48" i="1" s="1"/>
  <c r="L48" i="1" s="1"/>
  <c r="H47" i="1"/>
  <c r="K47" i="1" s="1"/>
  <c r="L47" i="1" s="1"/>
  <c r="H46" i="1"/>
  <c r="K46" i="1" s="1"/>
  <c r="L46" i="1" s="1"/>
  <c r="H45" i="1"/>
  <c r="K45" i="1" s="1"/>
  <c r="L45" i="1" s="1"/>
  <c r="H44" i="1"/>
  <c r="I44" i="1" s="1"/>
  <c r="J44" i="1" s="1"/>
  <c r="H43" i="1"/>
  <c r="I43" i="1" s="1"/>
  <c r="J43" i="1" s="1"/>
  <c r="H42" i="1"/>
  <c r="K42" i="1" s="1"/>
  <c r="L42" i="1" s="1"/>
  <c r="H41" i="1"/>
  <c r="K41" i="1" s="1"/>
  <c r="L41" i="1" s="1"/>
  <c r="H40" i="1"/>
  <c r="K40" i="1" s="1"/>
  <c r="L40" i="1" s="1"/>
  <c r="H39" i="1"/>
  <c r="I39" i="1" s="1"/>
  <c r="J39" i="1" s="1"/>
  <c r="H38" i="1"/>
  <c r="H37" i="1"/>
  <c r="K37" i="1" s="1"/>
  <c r="L37" i="1" s="1"/>
  <c r="H36" i="1"/>
  <c r="H35" i="1"/>
  <c r="H34" i="1"/>
  <c r="H33" i="1"/>
  <c r="H32" i="1"/>
  <c r="H31" i="1"/>
  <c r="H30" i="1"/>
  <c r="I30" i="1" s="1"/>
  <c r="J30" i="1" s="1"/>
  <c r="H29" i="1"/>
  <c r="I29" i="1" s="1"/>
  <c r="J29" i="1" s="1"/>
  <c r="H28" i="1"/>
  <c r="K28" i="1" s="1"/>
  <c r="L28" i="1" s="1"/>
  <c r="H27" i="1"/>
  <c r="I27" i="1" s="1"/>
  <c r="J27" i="1" s="1"/>
  <c r="H25" i="1"/>
  <c r="K25" i="1" s="1"/>
  <c r="L25" i="1" s="1"/>
  <c r="H24" i="1"/>
  <c r="K24" i="1" s="1"/>
  <c r="L24" i="1" s="1"/>
  <c r="H23" i="1"/>
  <c r="K23" i="1" s="1"/>
  <c r="L23" i="1" s="1"/>
  <c r="H22" i="1"/>
  <c r="K22" i="1" s="1"/>
  <c r="L22" i="1" s="1"/>
  <c r="H21" i="1"/>
  <c r="K21" i="1" s="1"/>
  <c r="L21" i="1" s="1"/>
  <c r="H20" i="1"/>
  <c r="I20" i="1" s="1"/>
  <c r="J20" i="1" s="1"/>
  <c r="H19" i="1"/>
  <c r="K19" i="1" s="1"/>
  <c r="L19" i="1" s="1"/>
  <c r="H18" i="1"/>
  <c r="K18" i="1" s="1"/>
  <c r="L18" i="1" s="1"/>
  <c r="H17" i="1"/>
  <c r="K17" i="1" s="1"/>
  <c r="L17" i="1" s="1"/>
  <c r="H16" i="1"/>
  <c r="K16" i="1" s="1"/>
  <c r="L16" i="1" s="1"/>
  <c r="H15" i="1"/>
  <c r="I15" i="1" s="1"/>
  <c r="J15" i="1" s="1"/>
  <c r="H14" i="1"/>
  <c r="H13" i="1"/>
  <c r="I13" i="1" s="1"/>
  <c r="J13" i="1" s="1"/>
  <c r="H12" i="1"/>
  <c r="K12" i="1" s="1"/>
  <c r="L12" i="1" s="1"/>
  <c r="H11" i="1"/>
  <c r="K11" i="1" s="1"/>
  <c r="L11" i="1" s="1"/>
  <c r="H10" i="1"/>
  <c r="I10" i="1" s="1"/>
  <c r="J10" i="1" s="1"/>
  <c r="H9" i="1"/>
  <c r="K9" i="1" s="1"/>
  <c r="L9" i="1" s="1"/>
  <c r="H8" i="1"/>
  <c r="I8" i="1" s="1"/>
  <c r="J8" i="1" s="1"/>
  <c r="H7" i="1"/>
  <c r="K7" i="1" s="1"/>
  <c r="L7" i="1" s="1"/>
  <c r="H6" i="1"/>
  <c r="K6" i="1" s="1"/>
  <c r="L6" i="1" s="1"/>
  <c r="H5" i="1"/>
  <c r="I5" i="1" s="1"/>
  <c r="J5" i="1" s="1"/>
  <c r="H4" i="1"/>
  <c r="K4" i="1" s="1"/>
  <c r="L4" i="1" s="1"/>
  <c r="H3" i="1"/>
  <c r="K3" i="1" s="1"/>
  <c r="L3" i="1" s="1"/>
  <c r="K287" i="1"/>
  <c r="L287" i="1" s="1"/>
  <c r="K286" i="1"/>
  <c r="L286" i="1" s="1"/>
  <c r="K35" i="1"/>
  <c r="L35" i="1" s="1"/>
  <c r="I34" i="1"/>
  <c r="J34" i="1" s="1"/>
  <c r="K33" i="1"/>
  <c r="L33" i="1" s="1"/>
  <c r="I32" i="1"/>
  <c r="J32" i="1" s="1"/>
  <c r="K31" i="1"/>
  <c r="L31" i="1" s="1"/>
  <c r="N252" i="1"/>
  <c r="N250" i="1"/>
  <c r="K292" i="1"/>
  <c r="L292" i="1" s="1"/>
  <c r="K290" i="1"/>
  <c r="L290" i="1" s="1"/>
  <c r="K272" i="1"/>
  <c r="L272" i="1" s="1"/>
  <c r="K225" i="1"/>
  <c r="L225" i="1" s="1"/>
  <c r="I174" i="1"/>
  <c r="J174" i="1" s="1"/>
  <c r="K106" i="1"/>
  <c r="L106" i="1" s="1"/>
  <c r="K87" i="1"/>
  <c r="L87" i="1" s="1"/>
  <c r="K59" i="1"/>
  <c r="L59" i="1" s="1"/>
  <c r="I58" i="1"/>
  <c r="J58" i="1" s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1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223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232" i="1"/>
  <c r="N228" i="1"/>
  <c r="N227" i="1"/>
  <c r="N231" i="1"/>
  <c r="N230" i="1"/>
  <c r="N229" i="1"/>
  <c r="N226" i="1"/>
  <c r="N222" i="1"/>
  <c r="N221" i="1"/>
  <c r="N225" i="1"/>
  <c r="N224" i="1"/>
  <c r="N217" i="1"/>
  <c r="N216" i="1"/>
  <c r="N220" i="1"/>
  <c r="N219" i="1"/>
  <c r="N218" i="1"/>
  <c r="N212" i="1"/>
  <c r="N211" i="1"/>
  <c r="N215" i="1"/>
  <c r="N214" i="1"/>
  <c r="N213" i="1"/>
  <c r="N207" i="1"/>
  <c r="N206" i="1"/>
  <c r="N210" i="1"/>
  <c r="N209" i="1"/>
  <c r="N208" i="1"/>
  <c r="N64" i="1"/>
  <c r="N68" i="1"/>
  <c r="N67" i="1"/>
  <c r="N66" i="1"/>
  <c r="N65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92" i="1"/>
  <c r="N96" i="1"/>
  <c r="N95" i="1"/>
  <c r="N94" i="1"/>
  <c r="N93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2" i="1"/>
  <c r="N71" i="1"/>
  <c r="N70" i="1"/>
  <c r="N69" i="1"/>
  <c r="N249" i="1"/>
  <c r="N246" i="1"/>
  <c r="N248" i="1"/>
  <c r="N247" i="1"/>
  <c r="N245" i="1"/>
  <c r="N242" i="1"/>
  <c r="N244" i="1"/>
  <c r="N243" i="1"/>
  <c r="N239" i="1"/>
  <c r="N241" i="1"/>
  <c r="N240" i="1"/>
  <c r="N236" i="1"/>
  <c r="N238" i="1"/>
  <c r="N237" i="1"/>
  <c r="N235" i="1"/>
  <c r="N234" i="1"/>
  <c r="N233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I252" i="1" l="1"/>
  <c r="J252" i="1" s="1"/>
  <c r="I250" i="1"/>
  <c r="J250" i="1" s="1"/>
  <c r="I233" i="1"/>
  <c r="J233" i="1" s="1"/>
  <c r="I246" i="1"/>
  <c r="J246" i="1" s="1"/>
  <c r="I240" i="1"/>
  <c r="J240" i="1" s="1"/>
  <c r="I239" i="1"/>
  <c r="J239" i="1" s="1"/>
  <c r="I237" i="1"/>
  <c r="J237" i="1" s="1"/>
  <c r="K235" i="1"/>
  <c r="L235" i="1" s="1"/>
  <c r="I248" i="1"/>
  <c r="J248" i="1" s="1"/>
  <c r="K242" i="1"/>
  <c r="L242" i="1" s="1"/>
  <c r="K244" i="1"/>
  <c r="L244" i="1" s="1"/>
  <c r="J247" i="1"/>
  <c r="J236" i="1"/>
  <c r="J238" i="1"/>
  <c r="K148" i="1"/>
  <c r="L148" i="1" s="1"/>
  <c r="K174" i="1"/>
  <c r="L174" i="1" s="1"/>
  <c r="I285" i="1"/>
  <c r="J285" i="1" s="1"/>
  <c r="I297" i="1"/>
  <c r="J297" i="1" s="1"/>
  <c r="I277" i="1"/>
  <c r="J277" i="1" s="1"/>
  <c r="I265" i="1"/>
  <c r="J265" i="1" s="1"/>
  <c r="I257" i="1"/>
  <c r="J257" i="1" s="1"/>
  <c r="I289" i="1"/>
  <c r="J289" i="1" s="1"/>
  <c r="I301" i="1"/>
  <c r="J301" i="1" s="1"/>
  <c r="I281" i="1"/>
  <c r="J281" i="1" s="1"/>
  <c r="I269" i="1"/>
  <c r="J269" i="1" s="1"/>
  <c r="I261" i="1"/>
  <c r="J261" i="1" s="1"/>
  <c r="I293" i="1"/>
  <c r="J293" i="1" s="1"/>
  <c r="I273" i="1"/>
  <c r="J273" i="1" s="1"/>
  <c r="I253" i="1"/>
  <c r="J253" i="1" s="1"/>
  <c r="I254" i="1"/>
  <c r="J254" i="1" s="1"/>
  <c r="I258" i="1"/>
  <c r="J258" i="1" s="1"/>
  <c r="I262" i="1"/>
  <c r="J262" i="1" s="1"/>
  <c r="I266" i="1"/>
  <c r="J266" i="1" s="1"/>
  <c r="I270" i="1"/>
  <c r="J270" i="1" s="1"/>
  <c r="I274" i="1"/>
  <c r="J274" i="1" s="1"/>
  <c r="I278" i="1"/>
  <c r="J278" i="1" s="1"/>
  <c r="I282" i="1"/>
  <c r="J282" i="1" s="1"/>
  <c r="I286" i="1"/>
  <c r="J286" i="1" s="1"/>
  <c r="I290" i="1"/>
  <c r="J290" i="1" s="1"/>
  <c r="I294" i="1"/>
  <c r="J294" i="1" s="1"/>
  <c r="I298" i="1"/>
  <c r="J298" i="1" s="1"/>
  <c r="I302" i="1"/>
  <c r="J302" i="1" s="1"/>
  <c r="K291" i="1"/>
  <c r="L291" i="1" s="1"/>
  <c r="I295" i="1"/>
  <c r="J295" i="1" s="1"/>
  <c r="I255" i="1"/>
  <c r="J255" i="1" s="1"/>
  <c r="I263" i="1"/>
  <c r="J263" i="1" s="1"/>
  <c r="I271" i="1"/>
  <c r="J271" i="1" s="1"/>
  <c r="I279" i="1"/>
  <c r="J279" i="1" s="1"/>
  <c r="I287" i="1"/>
  <c r="J287" i="1" s="1"/>
  <c r="I303" i="1"/>
  <c r="J303" i="1" s="1"/>
  <c r="K259" i="1"/>
  <c r="L259" i="1" s="1"/>
  <c r="K267" i="1"/>
  <c r="L267" i="1" s="1"/>
  <c r="K275" i="1"/>
  <c r="L275" i="1" s="1"/>
  <c r="K299" i="1"/>
  <c r="L299" i="1" s="1"/>
  <c r="I256" i="1"/>
  <c r="J256" i="1" s="1"/>
  <c r="I264" i="1"/>
  <c r="J264" i="1" s="1"/>
  <c r="I276" i="1"/>
  <c r="J276" i="1" s="1"/>
  <c r="I284" i="1"/>
  <c r="J284" i="1" s="1"/>
  <c r="I292" i="1"/>
  <c r="J292" i="1" s="1"/>
  <c r="I304" i="1"/>
  <c r="J304" i="1" s="1"/>
  <c r="K251" i="1"/>
  <c r="L251" i="1" s="1"/>
  <c r="K260" i="1"/>
  <c r="L260" i="1" s="1"/>
  <c r="K268" i="1"/>
  <c r="L268" i="1" s="1"/>
  <c r="K280" i="1"/>
  <c r="L280" i="1" s="1"/>
  <c r="K288" i="1"/>
  <c r="L288" i="1" s="1"/>
  <c r="K296" i="1"/>
  <c r="L296" i="1" s="1"/>
  <c r="I283" i="1"/>
  <c r="J283" i="1" s="1"/>
  <c r="I272" i="1"/>
  <c r="J272" i="1" s="1"/>
  <c r="I300" i="1"/>
  <c r="J300" i="1" s="1"/>
  <c r="I194" i="1"/>
  <c r="J194" i="1" s="1"/>
  <c r="K186" i="1"/>
  <c r="L186" i="1" s="1"/>
  <c r="I190" i="1"/>
  <c r="J190" i="1" s="1"/>
  <c r="I178" i="1"/>
  <c r="J178" i="1" s="1"/>
  <c r="I182" i="1"/>
  <c r="J182" i="1" s="1"/>
  <c r="I170" i="1"/>
  <c r="J170" i="1" s="1"/>
  <c r="I198" i="1"/>
  <c r="J198" i="1" s="1"/>
  <c r="K159" i="1"/>
  <c r="L159" i="1" s="1"/>
  <c r="I159" i="1"/>
  <c r="J159" i="1" s="1"/>
  <c r="I152" i="1"/>
  <c r="J152" i="1" s="1"/>
  <c r="I138" i="1"/>
  <c r="J138" i="1" s="1"/>
  <c r="K167" i="1"/>
  <c r="L167" i="1" s="1"/>
  <c r="I167" i="1"/>
  <c r="J167" i="1" s="1"/>
  <c r="K146" i="1"/>
  <c r="L146" i="1" s="1"/>
  <c r="I154" i="1"/>
  <c r="J154" i="1" s="1"/>
  <c r="I192" i="1"/>
  <c r="J192" i="1" s="1"/>
  <c r="K139" i="1"/>
  <c r="L139" i="1" s="1"/>
  <c r="I139" i="1"/>
  <c r="J139" i="1" s="1"/>
  <c r="I162" i="1"/>
  <c r="J162" i="1" s="1"/>
  <c r="I200" i="1"/>
  <c r="J200" i="1" s="1"/>
  <c r="K147" i="1"/>
  <c r="L147" i="1" s="1"/>
  <c r="I147" i="1"/>
  <c r="J147" i="1" s="1"/>
  <c r="I140" i="1"/>
  <c r="J140" i="1" s="1"/>
  <c r="K155" i="1"/>
  <c r="L155" i="1" s="1"/>
  <c r="I155" i="1"/>
  <c r="J155" i="1" s="1"/>
  <c r="K183" i="1"/>
  <c r="L183" i="1" s="1"/>
  <c r="I183" i="1"/>
  <c r="J183" i="1" s="1"/>
  <c r="K184" i="1"/>
  <c r="L184" i="1" s="1"/>
  <c r="I184" i="1"/>
  <c r="J184" i="1" s="1"/>
  <c r="K175" i="1"/>
  <c r="L175" i="1" s="1"/>
  <c r="I175" i="1"/>
  <c r="J175" i="1" s="1"/>
  <c r="I168" i="1"/>
  <c r="J168" i="1" s="1"/>
  <c r="K176" i="1"/>
  <c r="L176" i="1" s="1"/>
  <c r="I176" i="1"/>
  <c r="J176" i="1" s="1"/>
  <c r="K134" i="1"/>
  <c r="L134" i="1" s="1"/>
  <c r="K191" i="1"/>
  <c r="L191" i="1" s="1"/>
  <c r="I191" i="1"/>
  <c r="J191" i="1" s="1"/>
  <c r="I160" i="1"/>
  <c r="J160" i="1" s="1"/>
  <c r="K199" i="1"/>
  <c r="L199" i="1" s="1"/>
  <c r="I199" i="1"/>
  <c r="J199" i="1" s="1"/>
  <c r="K195" i="1"/>
  <c r="L195" i="1" s="1"/>
  <c r="I195" i="1"/>
  <c r="J195" i="1" s="1"/>
  <c r="I196" i="1"/>
  <c r="J196" i="1" s="1"/>
  <c r="K151" i="1"/>
  <c r="L151" i="1" s="1"/>
  <c r="I151" i="1"/>
  <c r="J151" i="1" s="1"/>
  <c r="K163" i="1"/>
  <c r="L163" i="1" s="1"/>
  <c r="I163" i="1"/>
  <c r="J163" i="1" s="1"/>
  <c r="I202" i="1"/>
  <c r="J202" i="1" s="1"/>
  <c r="I156" i="1"/>
  <c r="J156" i="1" s="1"/>
  <c r="I142" i="1"/>
  <c r="J142" i="1" s="1"/>
  <c r="K171" i="1"/>
  <c r="L171" i="1" s="1"/>
  <c r="I171" i="1"/>
  <c r="J171" i="1" s="1"/>
  <c r="K179" i="1"/>
  <c r="L179" i="1" s="1"/>
  <c r="I179" i="1"/>
  <c r="J179" i="1" s="1"/>
  <c r="K187" i="1"/>
  <c r="L187" i="1" s="1"/>
  <c r="I187" i="1"/>
  <c r="J187" i="1" s="1"/>
  <c r="I164" i="1"/>
  <c r="J164" i="1" s="1"/>
  <c r="I150" i="1"/>
  <c r="J150" i="1" s="1"/>
  <c r="K172" i="1"/>
  <c r="L172" i="1" s="1"/>
  <c r="I172" i="1"/>
  <c r="J172" i="1" s="1"/>
  <c r="K180" i="1"/>
  <c r="L180" i="1" s="1"/>
  <c r="I180" i="1"/>
  <c r="J180" i="1" s="1"/>
  <c r="K188" i="1"/>
  <c r="L188" i="1" s="1"/>
  <c r="I188" i="1"/>
  <c r="J188" i="1" s="1"/>
  <c r="K135" i="1"/>
  <c r="L135" i="1" s="1"/>
  <c r="I135" i="1"/>
  <c r="J135" i="1" s="1"/>
  <c r="K203" i="1"/>
  <c r="L203" i="1" s="1"/>
  <c r="I203" i="1"/>
  <c r="J203" i="1" s="1"/>
  <c r="I158" i="1"/>
  <c r="J158" i="1" s="1"/>
  <c r="K143" i="1"/>
  <c r="L143" i="1" s="1"/>
  <c r="I143" i="1"/>
  <c r="J143" i="1" s="1"/>
  <c r="K204" i="1"/>
  <c r="L204" i="1" s="1"/>
  <c r="I204" i="1"/>
  <c r="J204" i="1" s="1"/>
  <c r="I136" i="1"/>
  <c r="J136" i="1" s="1"/>
  <c r="I166" i="1"/>
  <c r="J166" i="1" s="1"/>
  <c r="I144" i="1"/>
  <c r="J144" i="1" s="1"/>
  <c r="I137" i="1"/>
  <c r="J137" i="1" s="1"/>
  <c r="I145" i="1"/>
  <c r="J145" i="1" s="1"/>
  <c r="I153" i="1"/>
  <c r="J153" i="1" s="1"/>
  <c r="I161" i="1"/>
  <c r="J161" i="1" s="1"/>
  <c r="I169" i="1"/>
  <c r="J169" i="1" s="1"/>
  <c r="I177" i="1"/>
  <c r="J177" i="1" s="1"/>
  <c r="I181" i="1"/>
  <c r="J181" i="1" s="1"/>
  <c r="I189" i="1"/>
  <c r="J189" i="1" s="1"/>
  <c r="I193" i="1"/>
  <c r="J193" i="1" s="1"/>
  <c r="I201" i="1"/>
  <c r="J201" i="1" s="1"/>
  <c r="K141" i="1"/>
  <c r="L141" i="1" s="1"/>
  <c r="K149" i="1"/>
  <c r="L149" i="1" s="1"/>
  <c r="K157" i="1"/>
  <c r="L157" i="1" s="1"/>
  <c r="K165" i="1"/>
  <c r="L165" i="1" s="1"/>
  <c r="K173" i="1"/>
  <c r="L173" i="1" s="1"/>
  <c r="K185" i="1"/>
  <c r="L185" i="1" s="1"/>
  <c r="K197" i="1"/>
  <c r="L197" i="1" s="1"/>
  <c r="K205" i="1"/>
  <c r="L205" i="1" s="1"/>
  <c r="K133" i="1"/>
  <c r="L133" i="1" s="1"/>
  <c r="K234" i="1"/>
  <c r="L234" i="1" s="1"/>
  <c r="K214" i="1"/>
  <c r="L214" i="1" s="1"/>
  <c r="I35" i="1"/>
  <c r="J35" i="1" s="1"/>
  <c r="K10" i="1"/>
  <c r="L10" i="1" s="1"/>
  <c r="K61" i="1"/>
  <c r="L61" i="1" s="1"/>
  <c r="K84" i="1"/>
  <c r="L84" i="1" s="1"/>
  <c r="K230" i="1"/>
  <c r="L230" i="1" s="1"/>
  <c r="I98" i="1"/>
  <c r="J98" i="1" s="1"/>
  <c r="K63" i="1"/>
  <c r="L63" i="1" s="1"/>
  <c r="K29" i="1"/>
  <c r="L29" i="1" s="1"/>
  <c r="K241" i="1"/>
  <c r="L241" i="1" s="1"/>
  <c r="K232" i="1"/>
  <c r="L232" i="1" s="1"/>
  <c r="I75" i="1"/>
  <c r="J75" i="1" s="1"/>
  <c r="K51" i="1"/>
  <c r="L51" i="1" s="1"/>
  <c r="K67" i="1"/>
  <c r="L67" i="1" s="1"/>
  <c r="I217" i="1"/>
  <c r="J217" i="1" s="1"/>
  <c r="K30" i="1"/>
  <c r="L30" i="1" s="1"/>
  <c r="K101" i="1"/>
  <c r="L101" i="1" s="1"/>
  <c r="I45" i="1"/>
  <c r="J45" i="1" s="1"/>
  <c r="I102" i="1"/>
  <c r="J102" i="1" s="1"/>
  <c r="I12" i="1"/>
  <c r="J12" i="1" s="1"/>
  <c r="K72" i="1"/>
  <c r="L72" i="1" s="1"/>
  <c r="I69" i="1"/>
  <c r="J69" i="1" s="1"/>
  <c r="K39" i="1"/>
  <c r="L39" i="1" s="1"/>
  <c r="K95" i="1"/>
  <c r="L95" i="1" s="1"/>
  <c r="K224" i="1"/>
  <c r="L224" i="1" s="1"/>
  <c r="K56" i="1"/>
  <c r="L56" i="1" s="1"/>
  <c r="K113" i="1"/>
  <c r="L113" i="1" s="1"/>
  <c r="K245" i="1"/>
  <c r="L245" i="1" s="1"/>
  <c r="I23" i="1"/>
  <c r="J23" i="1" s="1"/>
  <c r="I231" i="1"/>
  <c r="J231" i="1" s="1"/>
  <c r="K89" i="1"/>
  <c r="L89" i="1" s="1"/>
  <c r="K219" i="1"/>
  <c r="L219" i="1" s="1"/>
  <c r="K15" i="1"/>
  <c r="L15" i="1" s="1"/>
  <c r="K108" i="1"/>
  <c r="L108" i="1" s="1"/>
  <c r="I64" i="1"/>
  <c r="J64" i="1" s="1"/>
  <c r="K8" i="1"/>
  <c r="L8" i="1" s="1"/>
  <c r="I9" i="1"/>
  <c r="J9" i="1" s="1"/>
  <c r="K34" i="1"/>
  <c r="L34" i="1" s="1"/>
  <c r="K85" i="1"/>
  <c r="L85" i="1" s="1"/>
  <c r="I26" i="1"/>
  <c r="J26" i="1" s="1"/>
  <c r="K103" i="1"/>
  <c r="L103" i="1" s="1"/>
  <c r="K105" i="1"/>
  <c r="L105" i="1" s="1"/>
  <c r="K243" i="1"/>
  <c r="L243" i="1" s="1"/>
  <c r="I97" i="1"/>
  <c r="J97" i="1" s="1"/>
  <c r="K32" i="1"/>
  <c r="L32" i="1" s="1"/>
  <c r="I42" i="1"/>
  <c r="J42" i="1" s="1"/>
  <c r="I213" i="1"/>
  <c r="J213" i="1" s="1"/>
  <c r="K62" i="1"/>
  <c r="L62" i="1" s="1"/>
  <c r="K27" i="1"/>
  <c r="L27" i="1" s="1"/>
  <c r="K77" i="1"/>
  <c r="L77" i="1" s="1"/>
  <c r="K92" i="1"/>
  <c r="L92" i="1" s="1"/>
  <c r="K211" i="1"/>
  <c r="L211" i="1" s="1"/>
  <c r="K238" i="1"/>
  <c r="L238" i="1" s="1"/>
  <c r="K5" i="1"/>
  <c r="L5" i="1" s="1"/>
  <c r="K20" i="1"/>
  <c r="L20" i="1" s="1"/>
  <c r="I93" i="1"/>
  <c r="J93" i="1" s="1"/>
  <c r="I114" i="1"/>
  <c r="J114" i="1" s="1"/>
  <c r="I227" i="1"/>
  <c r="J227" i="1" s="1"/>
  <c r="I36" i="1"/>
  <c r="J36" i="1" s="1"/>
  <c r="K36" i="1"/>
  <c r="L36" i="1" s="1"/>
  <c r="I7" i="1"/>
  <c r="J7" i="1" s="1"/>
  <c r="I52" i="1"/>
  <c r="J52" i="1" s="1"/>
  <c r="K247" i="1"/>
  <c r="L247" i="1" s="1"/>
  <c r="I87" i="1"/>
  <c r="J87" i="1" s="1"/>
  <c r="K58" i="1"/>
  <c r="L58" i="1" s="1"/>
  <c r="I109" i="1"/>
  <c r="J109" i="1" s="1"/>
  <c r="I81" i="1"/>
  <c r="J81" i="1" s="1"/>
  <c r="K220" i="1"/>
  <c r="L220" i="1" s="1"/>
  <c r="K221" i="1"/>
  <c r="L221" i="1" s="1"/>
  <c r="I16" i="1"/>
  <c r="J16" i="1" s="1"/>
  <c r="K99" i="1"/>
  <c r="L99" i="1" s="1"/>
  <c r="I107" i="1"/>
  <c r="J107" i="1" s="1"/>
  <c r="K107" i="1"/>
  <c r="L107" i="1" s="1"/>
  <c r="K14" i="1"/>
  <c r="L14" i="1" s="1"/>
  <c r="I14" i="1"/>
  <c r="J14" i="1" s="1"/>
  <c r="I71" i="1"/>
  <c r="J71" i="1" s="1"/>
  <c r="K80" i="1"/>
  <c r="L80" i="1" s="1"/>
  <c r="I96" i="1"/>
  <c r="J96" i="1" s="1"/>
  <c r="I53" i="1"/>
  <c r="J53" i="1" s="1"/>
  <c r="I59" i="1"/>
  <c r="J59" i="1" s="1"/>
  <c r="K88" i="1"/>
  <c r="L88" i="1" s="1"/>
  <c r="I88" i="1"/>
  <c r="J88" i="1" s="1"/>
  <c r="I216" i="1"/>
  <c r="J216" i="1" s="1"/>
  <c r="I222" i="1"/>
  <c r="J222" i="1" s="1"/>
  <c r="I70" i="1"/>
  <c r="J70" i="1" s="1"/>
  <c r="J242" i="1"/>
  <c r="I6" i="1"/>
  <c r="J6" i="1" s="1"/>
  <c r="K236" i="1"/>
  <c r="L236" i="1" s="1"/>
  <c r="K212" i="1"/>
  <c r="L212" i="1" s="1"/>
  <c r="I212" i="1"/>
  <c r="J212" i="1" s="1"/>
  <c r="I57" i="1"/>
  <c r="J57" i="1" s="1"/>
  <c r="I21" i="1"/>
  <c r="J21" i="1" s="1"/>
  <c r="I22" i="1"/>
  <c r="J22" i="1" s="1"/>
  <c r="I110" i="1"/>
  <c r="J110" i="1" s="1"/>
  <c r="I82" i="1"/>
  <c r="J82" i="1" s="1"/>
  <c r="I47" i="1"/>
  <c r="J47" i="1" s="1"/>
  <c r="I3" i="1"/>
  <c r="J3" i="1" s="1"/>
  <c r="I17" i="1"/>
  <c r="J17" i="1" s="1"/>
  <c r="I104" i="1"/>
  <c r="J104" i="1" s="1"/>
  <c r="K249" i="1"/>
  <c r="L249" i="1" s="1"/>
  <c r="J249" i="1"/>
  <c r="I40" i="1"/>
  <c r="J40" i="1" s="1"/>
  <c r="I215" i="1"/>
  <c r="J215" i="1" s="1"/>
  <c r="K229" i="1"/>
  <c r="L229" i="1" s="1"/>
  <c r="I229" i="1"/>
  <c r="J229" i="1" s="1"/>
  <c r="K76" i="1"/>
  <c r="L76" i="1" s="1"/>
  <c r="K54" i="1"/>
  <c r="L54" i="1" s="1"/>
  <c r="I11" i="1"/>
  <c r="J11" i="1" s="1"/>
  <c r="I33" i="1"/>
  <c r="J33" i="1" s="1"/>
  <c r="I49" i="1"/>
  <c r="J49" i="1" s="1"/>
  <c r="I225" i="1"/>
  <c r="J225" i="1" s="1"/>
  <c r="K94" i="1"/>
  <c r="L94" i="1" s="1"/>
  <c r="I94" i="1"/>
  <c r="J94" i="1" s="1"/>
  <c r="K86" i="1"/>
  <c r="L86" i="1" s="1"/>
  <c r="I206" i="1"/>
  <c r="J206" i="1" s="1"/>
  <c r="K60" i="1"/>
  <c r="L60" i="1" s="1"/>
  <c r="I60" i="1"/>
  <c r="J60" i="1" s="1"/>
  <c r="I18" i="1"/>
  <c r="J18" i="1" s="1"/>
  <c r="J244" i="1"/>
  <c r="I48" i="1"/>
  <c r="J48" i="1" s="1"/>
  <c r="I210" i="1"/>
  <c r="J210" i="1" s="1"/>
  <c r="K38" i="1"/>
  <c r="L38" i="1" s="1"/>
  <c r="I38" i="1"/>
  <c r="J38" i="1" s="1"/>
  <c r="I83" i="1"/>
  <c r="J83" i="1" s="1"/>
  <c r="K55" i="1"/>
  <c r="L55" i="1" s="1"/>
  <c r="I55" i="1"/>
  <c r="J55" i="1" s="1"/>
  <c r="I208" i="1"/>
  <c r="J208" i="1" s="1"/>
  <c r="I4" i="1"/>
  <c r="J4" i="1" s="1"/>
  <c r="I28" i="1"/>
  <c r="J28" i="1" s="1"/>
  <c r="I65" i="1"/>
  <c r="J65" i="1" s="1"/>
  <c r="I100" i="1"/>
  <c r="J100" i="1" s="1"/>
  <c r="K43" i="1"/>
  <c r="L43" i="1" s="1"/>
  <c r="I111" i="1"/>
  <c r="J111" i="1" s="1"/>
  <c r="I91" i="1"/>
  <c r="J91" i="1" s="1"/>
  <c r="I78" i="1"/>
  <c r="J78" i="1" s="1"/>
  <c r="I90" i="1"/>
  <c r="J90" i="1" s="1"/>
  <c r="I2" i="1"/>
  <c r="J2" i="1" s="1"/>
  <c r="K44" i="1"/>
  <c r="L44" i="1" s="1"/>
  <c r="I50" i="1"/>
  <c r="J50" i="1" s="1"/>
  <c r="K68" i="1"/>
  <c r="L68" i="1" s="1"/>
  <c r="I207" i="1"/>
  <c r="J207" i="1" s="1"/>
  <c r="K13" i="1"/>
  <c r="L13" i="1" s="1"/>
  <c r="K223" i="1"/>
  <c r="L223" i="1" s="1"/>
  <c r="I223" i="1"/>
  <c r="J223" i="1" s="1"/>
  <c r="I25" i="1"/>
  <c r="J25" i="1" s="1"/>
  <c r="I106" i="1"/>
  <c r="J106" i="1" s="1"/>
  <c r="I31" i="1"/>
  <c r="J31" i="1" s="1"/>
  <c r="I37" i="1"/>
  <c r="J37" i="1" s="1"/>
  <c r="I218" i="1"/>
  <c r="J218" i="1" s="1"/>
  <c r="I112" i="1"/>
  <c r="J112" i="1" s="1"/>
  <c r="I74" i="1"/>
  <c r="J74" i="1" s="1"/>
  <c r="I41" i="1"/>
  <c r="J41" i="1" s="1"/>
  <c r="I66" i="1"/>
  <c r="J66" i="1" s="1"/>
  <c r="I226" i="1"/>
  <c r="J226" i="1" s="1"/>
  <c r="I19" i="1"/>
  <c r="J19" i="1" s="1"/>
  <c r="J235" i="1"/>
  <c r="I79" i="1"/>
  <c r="J79" i="1" s="1"/>
  <c r="I46" i="1"/>
  <c r="J46" i="1" s="1"/>
  <c r="I209" i="1"/>
  <c r="J209" i="1" s="1"/>
  <c r="I228" i="1"/>
  <c r="J228" i="1" s="1"/>
  <c r="I24" i="1"/>
  <c r="J24" i="1" s="1"/>
</calcChain>
</file>

<file path=xl/sharedStrings.xml><?xml version="1.0" encoding="utf-8"?>
<sst xmlns="http://schemas.openxmlformats.org/spreadsheetml/2006/main" count="615" uniqueCount="20">
  <si>
    <t>tm_fix_vs_fix</t>
  </si>
  <si>
    <t>tag_perm</t>
  </si>
  <si>
    <t>param</t>
  </si>
  <si>
    <t>p_val</t>
  </si>
  <si>
    <t>beta</t>
  </si>
  <si>
    <t>vt_evo_paravsmut</t>
  </si>
  <si>
    <t>tagmut_evolve_paravsmut</t>
  </si>
  <si>
    <t>parastab evolved mut vs parastab fixed mut</t>
  </si>
  <si>
    <t>vt evolved mutualist vs vt fixed mutualist</t>
  </si>
  <si>
    <t>vt evolved parasite vs vt fixed parasite</t>
  </si>
  <si>
    <t>vt fixed vs vt fixed</t>
  </si>
  <si>
    <t>parastab evolved para vs parastab fixed para</t>
  </si>
  <si>
    <t>param_name</t>
  </si>
  <si>
    <t>tag_mut</t>
  </si>
  <si>
    <t>vt</t>
  </si>
  <si>
    <t>num_tests</t>
  </si>
  <si>
    <t>signif?</t>
  </si>
  <si>
    <t>0.05_p_required</t>
  </si>
  <si>
    <t>0.01_p_required</t>
  </si>
  <si>
    <t>effect_size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</si>
</sst>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8980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5" borderId="0" xfId="0" applyFill="1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0" fillId="3" borderId="0" xfId="0" applyFill="1"/>
    <xf numFmtId="0" fontId="0" fillId="0" borderId="1" xfId="0" applyBorder="1"/>
    <xf numFmtId="0" fontId="0" fillId="3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0" xfId="0" applyFill="1"/>
    <xf numFmtId="0" fontId="0" fillId="8" borderId="1" xfId="0" applyFill="1" applyBorder="1"/>
    <xf numFmtId="0" fontId="0" fillId="9" borderId="1" xfId="0" applyFill="1" applyBorder="1"/>
    <xf numFmtId="0" fontId="0" fillId="2" borderId="1" xfId="0" applyFill="1" applyBorder="1"/>
    <xf numFmtId="11" fontId="0" fillId="0" borderId="1" xfId="0" applyNumberFormat="1" applyBorder="1" applyAlignment="1">
      <alignment horizontal="left"/>
    </xf>
    <xf numFmtId="0" fontId="0" fillId="7" borderId="0" xfId="0" applyFill="1"/>
    <xf numFmtId="0" fontId="0" fillId="6" borderId="0" xfId="0" applyFill="1"/>
    <xf numFmtId="0" fontId="0" fillId="2" borderId="0" xfId="0" applyFill="1"/>
    <xf numFmtId="0" fontId="0" fillId="9" borderId="0" xfId="0" applyFill="1"/>
    <xf numFmtId="0" fontId="0" fillId="4" borderId="0" xfId="0" applyFill="1"/>
    <xf numFmtId="0" fontId="0" fillId="4" borderId="1" xfId="0" applyFill="1" applyBorder="1"/>
    <xf numFmtId="11" fontId="0" fillId="0" borderId="0" xfId="0" applyNumberFormat="1"/>
    <xf numFmtId="0" fontId="0" fillId="5" borderId="1" xfId="0" applyFill="1" applyBorder="1"/>
    <xf numFmtId="0" fontId="0" fillId="13" borderId="1" xfId="0" applyFill="1" applyBorder="1" applyAlignment="1">
      <alignment horizontal="left"/>
    </xf>
    <xf numFmtId="0" fontId="0" fillId="13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12" borderId="0" xfId="0" applyFill="1" applyAlignment="1">
      <alignment horizontal="left"/>
    </xf>
    <xf numFmtId="11" fontId="0" fillId="12" borderId="0" xfId="0" applyNumberFormat="1" applyFill="1" applyAlignment="1">
      <alignment horizontal="left"/>
    </xf>
    <xf numFmtId="0" fontId="0" fillId="14" borderId="0" xfId="0" applyFill="1" applyAlignment="1">
      <alignment horizontal="left"/>
    </xf>
    <xf numFmtId="11" fontId="0" fillId="14" borderId="0" xfId="0" applyNumberFormat="1" applyFill="1" applyAlignment="1">
      <alignment horizontal="left"/>
    </xf>
    <xf numFmtId="0" fontId="0" fillId="15" borderId="0" xfId="0" applyFill="1"/>
    <xf numFmtId="0" fontId="0" fillId="10" borderId="0" xfId="0" applyFill="1"/>
    <xf numFmtId="0" fontId="0" fillId="0" borderId="0" xfId="0" applyFill="1" applyBorder="1"/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8999603259376811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89996032593768116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89996032593768116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ill>
        <patternFill>
          <bgColor rgb="FFF2FBEF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CCFF"/>
      <color rgb="FFFFFFCC"/>
      <color rgb="FFF2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DC91-C1FD-4C33-9B1C-E5F64F0CE561}">
  <dimension ref="A1:AH315"/>
  <sheetViews>
    <sheetView tabSelected="1" topLeftCell="A52" zoomScale="40" zoomScaleNormal="40" workbookViewId="0">
      <selection activeCell="AS109" sqref="AS109"/>
    </sheetView>
  </sheetViews>
  <sheetFormatPr defaultRowHeight="13.5"/>
  <cols>
    <col min="5" max="5" width="17.875" customWidth="1"/>
    <col min="9" max="9" width="12.75" customWidth="1"/>
    <col min="11" max="11" width="6.3125" customWidth="1"/>
    <col min="12" max="12" width="12.75" bestFit="1" customWidth="1"/>
    <col min="14" max="14" width="8.875" customWidth="1"/>
  </cols>
  <sheetData>
    <row r="1" spans="1:31">
      <c r="B1" t="s">
        <v>1</v>
      </c>
      <c r="C1" t="s">
        <v>2</v>
      </c>
      <c r="D1" t="s">
        <v>12</v>
      </c>
      <c r="E1" t="s">
        <v>3</v>
      </c>
      <c r="F1" t="s">
        <v>4</v>
      </c>
      <c r="H1" t="s">
        <v>15</v>
      </c>
      <c r="I1" t="s">
        <v>17</v>
      </c>
      <c r="J1" t="s">
        <v>16</v>
      </c>
      <c r="K1" t="s">
        <v>18</v>
      </c>
      <c r="L1" t="s">
        <v>16</v>
      </c>
      <c r="N1" t="s">
        <v>19</v>
      </c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</row>
    <row r="2" spans="1:31">
      <c r="A2" s="11" t="s">
        <v>7</v>
      </c>
      <c r="B2" s="4">
        <v>0.125</v>
      </c>
      <c r="C2" s="4">
        <v>1E-4</v>
      </c>
      <c r="D2" s="4" t="s">
        <v>13</v>
      </c>
      <c r="E2" s="14">
        <v>6.93539435043076E-40</v>
      </c>
      <c r="F2" s="4">
        <v>2.13805527043111E-2</v>
      </c>
      <c r="G2" s="4"/>
      <c r="H2" s="4">
        <f>ROWS(A2:A304)-1</f>
        <v>302</v>
      </c>
      <c r="I2" s="6">
        <f t="shared" ref="I2:I33" si="0">0.05/H2</f>
        <v>1.6556291390728477E-4</v>
      </c>
      <c r="J2" s="6" t="str">
        <f>IF(E2&lt;I2,"yes","no")</f>
        <v>yes</v>
      </c>
      <c r="K2" s="6">
        <f t="shared" ref="K2:K33" si="1">0.01/H2</f>
        <v>3.3112582781456954E-5</v>
      </c>
      <c r="L2" s="6" t="str">
        <f t="shared" ref="L2:L33" si="2">IF(E2&lt;K2,"yes!","")</f>
        <v>yes!</v>
      </c>
      <c r="M2" s="6"/>
      <c r="N2" s="6" t="str">
        <f t="shared" ref="N2:N33" si="3">IF(ABS(F2)&lt;0.11,"minimal effect",IF(ABS(F2)&lt;0.28,"small",IF(ABS(F2)&lt;0.43,"medium","large")))</f>
        <v>minimal effect</v>
      </c>
      <c r="O2" s="6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</row>
    <row r="3" spans="1:31">
      <c r="A3" s="10" t="s">
        <v>7</v>
      </c>
      <c r="B3" s="2">
        <v>0.1875</v>
      </c>
      <c r="C3" s="2">
        <v>1E-4</v>
      </c>
      <c r="D3" s="2" t="s">
        <v>13</v>
      </c>
      <c r="E3" s="2">
        <v>0</v>
      </c>
      <c r="F3" s="2">
        <v>-7.4712652021904497E-2</v>
      </c>
      <c r="G3" s="2"/>
      <c r="H3" s="2">
        <f t="shared" ref="H3:H66" si="4">ROWS(A3:A305)-1</f>
        <v>302</v>
      </c>
      <c r="I3">
        <f t="shared" si="0"/>
        <v>1.6556291390728477E-4</v>
      </c>
      <c r="J3" t="str">
        <f t="shared" ref="J3:J66" si="5">IF(E3&lt;I3,"yes","no")</f>
        <v>yes</v>
      </c>
      <c r="K3">
        <f t="shared" si="1"/>
        <v>3.3112582781456954E-5</v>
      </c>
      <c r="L3" t="str">
        <f t="shared" si="2"/>
        <v>yes!</v>
      </c>
      <c r="N3" t="str">
        <f t="shared" si="3"/>
        <v>minimal effect</v>
      </c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</row>
    <row r="4" spans="1:31">
      <c r="A4" s="10" t="s">
        <v>7</v>
      </c>
      <c r="B4" s="2">
        <v>0.1875</v>
      </c>
      <c r="C4" s="2">
        <v>5.0000000000000001E-4</v>
      </c>
      <c r="D4" s="2" t="s">
        <v>13</v>
      </c>
      <c r="E4" s="3">
        <v>1.66491460792309E-43</v>
      </c>
      <c r="F4" s="2">
        <v>3.5764669219207998E-2</v>
      </c>
      <c r="G4" s="2"/>
      <c r="H4" s="2">
        <f t="shared" si="4"/>
        <v>302</v>
      </c>
      <c r="I4">
        <f t="shared" si="0"/>
        <v>1.6556291390728477E-4</v>
      </c>
      <c r="J4" t="str">
        <f t="shared" si="5"/>
        <v>yes</v>
      </c>
      <c r="K4">
        <f t="shared" si="1"/>
        <v>3.3112582781456954E-5</v>
      </c>
      <c r="L4" t="str">
        <f t="shared" si="2"/>
        <v>yes!</v>
      </c>
      <c r="N4" t="str">
        <f t="shared" si="3"/>
        <v>minimal effect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</row>
    <row r="5" spans="1:31">
      <c r="A5" s="10" t="s">
        <v>7</v>
      </c>
      <c r="B5" s="2">
        <v>0.25</v>
      </c>
      <c r="C5" s="2">
        <v>1E-4</v>
      </c>
      <c r="D5" s="2" t="s">
        <v>13</v>
      </c>
      <c r="E5" s="3">
        <v>1.2538536842715301E-31</v>
      </c>
      <c r="F5" s="2">
        <v>2.3108544527101298E-2</v>
      </c>
      <c r="G5" s="2"/>
      <c r="H5" s="2">
        <f t="shared" si="4"/>
        <v>302</v>
      </c>
      <c r="I5">
        <f t="shared" si="0"/>
        <v>1.6556291390728477E-4</v>
      </c>
      <c r="J5" t="str">
        <f t="shared" si="5"/>
        <v>yes</v>
      </c>
      <c r="K5">
        <f t="shared" si="1"/>
        <v>3.3112582781456954E-5</v>
      </c>
      <c r="L5" t="str">
        <f t="shared" si="2"/>
        <v>yes!</v>
      </c>
      <c r="N5" t="str">
        <f t="shared" si="3"/>
        <v>minimal effect</v>
      </c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</row>
    <row r="6" spans="1:31">
      <c r="A6" s="10" t="s">
        <v>7</v>
      </c>
      <c r="B6" s="2">
        <v>0.25</v>
      </c>
      <c r="C6" s="2">
        <v>5.0000000000000001E-4</v>
      </c>
      <c r="D6" s="2" t="s">
        <v>13</v>
      </c>
      <c r="E6" s="3">
        <v>2.1369600252148401E-49</v>
      </c>
      <c r="F6" s="2">
        <v>3.03526883957402E-2</v>
      </c>
      <c r="G6" s="2"/>
      <c r="H6" s="2">
        <f t="shared" si="4"/>
        <v>302</v>
      </c>
      <c r="I6">
        <f t="shared" si="0"/>
        <v>1.6556291390728477E-4</v>
      </c>
      <c r="J6" t="str">
        <f t="shared" si="5"/>
        <v>yes</v>
      </c>
      <c r="K6">
        <f t="shared" si="1"/>
        <v>3.3112582781456954E-5</v>
      </c>
      <c r="L6" t="str">
        <f t="shared" si="2"/>
        <v>yes!</v>
      </c>
      <c r="N6" t="str">
        <f t="shared" si="3"/>
        <v>minimal effect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</row>
    <row r="7" spans="1:31">
      <c r="A7" s="10" t="s">
        <v>7</v>
      </c>
      <c r="B7" s="2">
        <v>0.25</v>
      </c>
      <c r="C7" s="2">
        <v>1E-3</v>
      </c>
      <c r="D7" s="2" t="s">
        <v>13</v>
      </c>
      <c r="E7" s="3">
        <v>4.2655172442954298E-10</v>
      </c>
      <c r="F7" s="2">
        <v>-2.4264433890221999E-2</v>
      </c>
      <c r="G7" s="2"/>
      <c r="H7" s="2">
        <f t="shared" si="4"/>
        <v>302</v>
      </c>
      <c r="I7">
        <f t="shared" si="0"/>
        <v>1.6556291390728477E-4</v>
      </c>
      <c r="J7" t="str">
        <f t="shared" si="5"/>
        <v>yes</v>
      </c>
      <c r="K7">
        <f t="shared" si="1"/>
        <v>3.3112582781456954E-5</v>
      </c>
      <c r="L7" t="str">
        <f t="shared" si="2"/>
        <v>yes!</v>
      </c>
      <c r="N7" t="str">
        <f t="shared" si="3"/>
        <v>minimal effect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</row>
    <row r="8" spans="1:31">
      <c r="A8" s="10" t="s">
        <v>7</v>
      </c>
      <c r="B8" s="2">
        <v>0.3125</v>
      </c>
      <c r="C8" s="2">
        <v>1E-4</v>
      </c>
      <c r="D8" s="2" t="s">
        <v>13</v>
      </c>
      <c r="E8" s="3">
        <v>2.59165782166394E-18</v>
      </c>
      <c r="F8" s="2">
        <v>-1.74808341502528E-2</v>
      </c>
      <c r="G8" s="2"/>
      <c r="H8" s="2">
        <f t="shared" si="4"/>
        <v>302</v>
      </c>
      <c r="I8">
        <f t="shared" si="0"/>
        <v>1.6556291390728477E-4</v>
      </c>
      <c r="J8" t="str">
        <f t="shared" si="5"/>
        <v>yes</v>
      </c>
      <c r="K8">
        <f t="shared" si="1"/>
        <v>3.3112582781456954E-5</v>
      </c>
      <c r="L8" t="str">
        <f t="shared" si="2"/>
        <v>yes!</v>
      </c>
      <c r="N8" t="str">
        <f t="shared" si="3"/>
        <v>minimal effect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</row>
    <row r="9" spans="1:31">
      <c r="A9" s="10" t="s">
        <v>7</v>
      </c>
      <c r="B9" s="2">
        <v>0.3125</v>
      </c>
      <c r="C9" s="2">
        <v>5.0000000000000001E-4</v>
      </c>
      <c r="D9" s="2" t="s">
        <v>13</v>
      </c>
      <c r="E9" s="3">
        <v>7.9246770546703892E-15</v>
      </c>
      <c r="F9" s="2">
        <v>1.5970369377435199E-2</v>
      </c>
      <c r="G9" s="2"/>
      <c r="H9" s="2">
        <f t="shared" si="4"/>
        <v>302</v>
      </c>
      <c r="I9">
        <f t="shared" si="0"/>
        <v>1.6556291390728477E-4</v>
      </c>
      <c r="J9" t="str">
        <f t="shared" si="5"/>
        <v>yes</v>
      </c>
      <c r="K9">
        <f t="shared" si="1"/>
        <v>3.3112582781456954E-5</v>
      </c>
      <c r="L9" t="str">
        <f t="shared" si="2"/>
        <v>yes!</v>
      </c>
      <c r="N9" t="str">
        <f t="shared" si="3"/>
        <v>minimal effect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</row>
    <row r="10" spans="1:31">
      <c r="A10" s="10" t="s">
        <v>7</v>
      </c>
      <c r="B10" s="2">
        <v>0.3125</v>
      </c>
      <c r="C10" s="2">
        <v>1E-3</v>
      </c>
      <c r="D10" s="2" t="s">
        <v>13</v>
      </c>
      <c r="E10" s="3">
        <v>4.7295637017671001E-5</v>
      </c>
      <c r="F10" s="2">
        <v>9.4753935939612295E-3</v>
      </c>
      <c r="G10" s="2"/>
      <c r="H10" s="2">
        <f t="shared" si="4"/>
        <v>302</v>
      </c>
      <c r="I10">
        <f t="shared" si="0"/>
        <v>1.6556291390728477E-4</v>
      </c>
      <c r="J10" t="str">
        <f t="shared" si="5"/>
        <v>yes</v>
      </c>
      <c r="K10">
        <f t="shared" si="1"/>
        <v>3.3112582781456954E-5</v>
      </c>
      <c r="L10" t="str">
        <f t="shared" si="2"/>
        <v/>
      </c>
      <c r="N10" t="str">
        <f t="shared" si="3"/>
        <v>minimal effect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</row>
    <row r="11" spans="1:31">
      <c r="A11" s="10" t="s">
        <v>7</v>
      </c>
      <c r="B11" s="2">
        <v>0.375</v>
      </c>
      <c r="C11" s="2">
        <v>1E-4</v>
      </c>
      <c r="D11" s="2" t="s">
        <v>13</v>
      </c>
      <c r="E11" s="3">
        <v>1.5727800692602499E-30</v>
      </c>
      <c r="F11" s="2">
        <v>-2.3322124389512301E-2</v>
      </c>
      <c r="G11" s="2"/>
      <c r="H11" s="2">
        <f t="shared" si="4"/>
        <v>302</v>
      </c>
      <c r="I11">
        <f t="shared" si="0"/>
        <v>1.6556291390728477E-4</v>
      </c>
      <c r="J11" t="str">
        <f t="shared" si="5"/>
        <v>yes</v>
      </c>
      <c r="K11">
        <f t="shared" si="1"/>
        <v>3.3112582781456954E-5</v>
      </c>
      <c r="L11" t="str">
        <f t="shared" si="2"/>
        <v>yes!</v>
      </c>
      <c r="N11" t="str">
        <f t="shared" si="3"/>
        <v>minimal effect</v>
      </c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</row>
    <row r="12" spans="1:31">
      <c r="A12" s="10" t="s">
        <v>7</v>
      </c>
      <c r="B12" s="2">
        <v>0.375</v>
      </c>
      <c r="C12" s="2">
        <v>5.0000000000000001E-4</v>
      </c>
      <c r="D12" s="2" t="s">
        <v>13</v>
      </c>
      <c r="E12" s="2">
        <v>0.459693074108044</v>
      </c>
      <c r="F12" s="2">
        <v>1.5262839163426799E-3</v>
      </c>
      <c r="G12" s="2"/>
      <c r="H12" s="2">
        <f t="shared" si="4"/>
        <v>302</v>
      </c>
      <c r="I12">
        <f t="shared" si="0"/>
        <v>1.6556291390728477E-4</v>
      </c>
      <c r="J12" t="str">
        <f t="shared" si="5"/>
        <v>no</v>
      </c>
      <c r="K12">
        <f t="shared" si="1"/>
        <v>3.3112582781456954E-5</v>
      </c>
      <c r="L12" t="str">
        <f t="shared" si="2"/>
        <v/>
      </c>
      <c r="N12" t="str">
        <f t="shared" si="3"/>
        <v>minimal effect</v>
      </c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</row>
    <row r="13" spans="1:31">
      <c r="A13" s="10" t="s">
        <v>7</v>
      </c>
      <c r="B13" s="2">
        <v>0.375</v>
      </c>
      <c r="C13" s="2">
        <v>1E-3</v>
      </c>
      <c r="D13" s="2" t="s">
        <v>13</v>
      </c>
      <c r="E13" s="3">
        <v>9.6194483049177505E-11</v>
      </c>
      <c r="F13" s="2">
        <v>-1.3509726741303E-2</v>
      </c>
      <c r="G13" s="2"/>
      <c r="H13" s="2">
        <f t="shared" si="4"/>
        <v>302</v>
      </c>
      <c r="I13">
        <f t="shared" si="0"/>
        <v>1.6556291390728477E-4</v>
      </c>
      <c r="J13" t="str">
        <f t="shared" si="5"/>
        <v>yes</v>
      </c>
      <c r="K13">
        <f t="shared" si="1"/>
        <v>3.3112582781456954E-5</v>
      </c>
      <c r="L13" t="str">
        <f t="shared" si="2"/>
        <v>yes!</v>
      </c>
      <c r="N13" t="str">
        <f t="shared" si="3"/>
        <v>minimal effect</v>
      </c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</row>
    <row r="14" spans="1:31">
      <c r="A14" s="10" t="s">
        <v>7</v>
      </c>
      <c r="B14" s="2">
        <v>0.375</v>
      </c>
      <c r="C14" s="2">
        <v>5.0000000000000001E-3</v>
      </c>
      <c r="D14" s="2" t="s">
        <v>13</v>
      </c>
      <c r="E14" s="2">
        <v>0.207036166524737</v>
      </c>
      <c r="F14" s="2">
        <v>1.09171149734237E-2</v>
      </c>
      <c r="G14" s="2"/>
      <c r="H14" s="2">
        <f t="shared" si="4"/>
        <v>302</v>
      </c>
      <c r="I14">
        <f t="shared" si="0"/>
        <v>1.6556291390728477E-4</v>
      </c>
      <c r="J14" t="str">
        <f t="shared" si="5"/>
        <v>no</v>
      </c>
      <c r="K14">
        <f t="shared" si="1"/>
        <v>3.3112582781456954E-5</v>
      </c>
      <c r="L14" t="str">
        <f t="shared" si="2"/>
        <v/>
      </c>
      <c r="N14" t="str">
        <f t="shared" si="3"/>
        <v>minimal effect</v>
      </c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</row>
    <row r="15" spans="1:31">
      <c r="A15" s="10" t="s">
        <v>7</v>
      </c>
      <c r="B15" s="2">
        <v>0.4375</v>
      </c>
      <c r="C15" s="2">
        <v>1E-4</v>
      </c>
      <c r="D15" s="2" t="s">
        <v>13</v>
      </c>
      <c r="E15" s="3">
        <v>1.02788302856126E-66</v>
      </c>
      <c r="F15" s="2">
        <v>3.5348069806067597E-2</v>
      </c>
      <c r="G15" s="2"/>
      <c r="H15" s="2">
        <f t="shared" si="4"/>
        <v>302</v>
      </c>
      <c r="I15">
        <f t="shared" si="0"/>
        <v>1.6556291390728477E-4</v>
      </c>
      <c r="J15" t="str">
        <f t="shared" si="5"/>
        <v>yes</v>
      </c>
      <c r="K15">
        <f t="shared" si="1"/>
        <v>3.3112582781456954E-5</v>
      </c>
      <c r="L15" t="str">
        <f t="shared" si="2"/>
        <v>yes!</v>
      </c>
      <c r="N15" t="str">
        <f t="shared" si="3"/>
        <v>minimal effect</v>
      </c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</row>
    <row r="16" spans="1:31">
      <c r="A16" s="10" t="s">
        <v>7</v>
      </c>
      <c r="B16" s="2">
        <v>0.4375</v>
      </c>
      <c r="C16" s="2">
        <v>5.0000000000000001E-4</v>
      </c>
      <c r="D16" s="2" t="s">
        <v>13</v>
      </c>
      <c r="E16" s="3">
        <v>4.2290062858444699E-221</v>
      </c>
      <c r="F16" s="2">
        <v>6.5749797761265202E-2</v>
      </c>
      <c r="G16" s="2"/>
      <c r="H16" s="2">
        <f t="shared" si="4"/>
        <v>302</v>
      </c>
      <c r="I16">
        <f t="shared" si="0"/>
        <v>1.6556291390728477E-4</v>
      </c>
      <c r="J16" t="str">
        <f t="shared" si="5"/>
        <v>yes</v>
      </c>
      <c r="K16">
        <f t="shared" si="1"/>
        <v>3.3112582781456954E-5</v>
      </c>
      <c r="L16" t="str">
        <f t="shared" si="2"/>
        <v>yes!</v>
      </c>
      <c r="N16" t="str">
        <f t="shared" si="3"/>
        <v>minimal effect</v>
      </c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1:31">
      <c r="A17" s="10" t="s">
        <v>7</v>
      </c>
      <c r="B17" s="2">
        <v>0.4375</v>
      </c>
      <c r="C17" s="2">
        <v>1E-3</v>
      </c>
      <c r="D17" s="2" t="s">
        <v>13</v>
      </c>
      <c r="E17" s="2">
        <v>8.2134960002760299E-2</v>
      </c>
      <c r="F17" s="2">
        <v>-3.6312853922227202E-3</v>
      </c>
      <c r="G17" s="2"/>
      <c r="H17" s="2">
        <f t="shared" si="4"/>
        <v>302</v>
      </c>
      <c r="I17">
        <f t="shared" si="0"/>
        <v>1.6556291390728477E-4</v>
      </c>
      <c r="J17" t="str">
        <f t="shared" si="5"/>
        <v>no</v>
      </c>
      <c r="K17">
        <f t="shared" si="1"/>
        <v>3.3112582781456954E-5</v>
      </c>
      <c r="L17" t="str">
        <f t="shared" si="2"/>
        <v/>
      </c>
      <c r="N17" t="str">
        <f t="shared" si="3"/>
        <v>minimal effect</v>
      </c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 spans="1:31">
      <c r="A18" s="10" t="s">
        <v>7</v>
      </c>
      <c r="B18" s="2">
        <v>0.4375</v>
      </c>
      <c r="C18" s="2">
        <v>5.0000000000000001E-3</v>
      </c>
      <c r="D18" s="2" t="s">
        <v>13</v>
      </c>
      <c r="E18" s="3">
        <v>3.2553796895209399E-37</v>
      </c>
      <c r="F18" s="2">
        <v>2.8147066267734999E-2</v>
      </c>
      <c r="G18" s="2"/>
      <c r="H18" s="2">
        <f t="shared" si="4"/>
        <v>302</v>
      </c>
      <c r="I18">
        <f t="shared" si="0"/>
        <v>1.6556291390728477E-4</v>
      </c>
      <c r="J18" t="str">
        <f t="shared" si="5"/>
        <v>yes</v>
      </c>
      <c r="K18">
        <f t="shared" si="1"/>
        <v>3.3112582781456954E-5</v>
      </c>
      <c r="L18" t="str">
        <f t="shared" si="2"/>
        <v>yes!</v>
      </c>
      <c r="N18" t="str">
        <f t="shared" si="3"/>
        <v>minimal effect</v>
      </c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</row>
    <row r="19" spans="1:31">
      <c r="A19" s="10" t="s">
        <v>7</v>
      </c>
      <c r="B19" s="2">
        <v>0.4375</v>
      </c>
      <c r="C19" s="2">
        <v>0.01</v>
      </c>
      <c r="D19" s="2" t="s">
        <v>13</v>
      </c>
      <c r="E19" s="3">
        <v>2.1640949165695401E-5</v>
      </c>
      <c r="F19" s="2">
        <v>1.13751857507703E-2</v>
      </c>
      <c r="G19" s="2"/>
      <c r="H19" s="2">
        <f t="shared" si="4"/>
        <v>302</v>
      </c>
      <c r="I19">
        <f t="shared" si="0"/>
        <v>1.6556291390728477E-4</v>
      </c>
      <c r="J19" t="str">
        <f t="shared" si="5"/>
        <v>yes</v>
      </c>
      <c r="K19">
        <f t="shared" si="1"/>
        <v>3.3112582781456954E-5</v>
      </c>
      <c r="L19" t="str">
        <f t="shared" si="2"/>
        <v>yes!</v>
      </c>
      <c r="N19" t="str">
        <f t="shared" si="3"/>
        <v>minimal effect</v>
      </c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</row>
    <row r="20" spans="1:31">
      <c r="A20" s="10" t="s">
        <v>7</v>
      </c>
      <c r="B20" s="2">
        <v>0.5</v>
      </c>
      <c r="C20" s="2">
        <v>1E-4</v>
      </c>
      <c r="D20" s="2" t="s">
        <v>13</v>
      </c>
      <c r="E20" s="2">
        <v>0</v>
      </c>
      <c r="F20" s="2">
        <v>-8.6586363165466598E-2</v>
      </c>
      <c r="G20" s="2"/>
      <c r="H20" s="2">
        <f t="shared" si="4"/>
        <v>302</v>
      </c>
      <c r="I20">
        <f t="shared" si="0"/>
        <v>1.6556291390728477E-4</v>
      </c>
      <c r="J20" t="str">
        <f t="shared" si="5"/>
        <v>yes</v>
      </c>
      <c r="K20">
        <f t="shared" si="1"/>
        <v>3.3112582781456954E-5</v>
      </c>
      <c r="L20" t="str">
        <f t="shared" si="2"/>
        <v>yes!</v>
      </c>
      <c r="N20" t="str">
        <f t="shared" si="3"/>
        <v>minimal effect</v>
      </c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</row>
    <row r="21" spans="1:31">
      <c r="A21" s="10" t="s">
        <v>7</v>
      </c>
      <c r="B21" s="2">
        <v>0.5</v>
      </c>
      <c r="C21" s="2">
        <v>5.0000000000000001E-4</v>
      </c>
      <c r="D21" s="2" t="s">
        <v>13</v>
      </c>
      <c r="E21" s="2">
        <v>2.5845382072092998E-2</v>
      </c>
      <c r="F21" s="2">
        <v>-4.6232656374264802E-3</v>
      </c>
      <c r="G21" s="2"/>
      <c r="H21" s="2">
        <f t="shared" si="4"/>
        <v>302</v>
      </c>
      <c r="I21">
        <f t="shared" si="0"/>
        <v>1.6556291390728477E-4</v>
      </c>
      <c r="J21" t="str">
        <f t="shared" si="5"/>
        <v>no</v>
      </c>
      <c r="K21">
        <f t="shared" si="1"/>
        <v>3.3112582781456954E-5</v>
      </c>
      <c r="L21" t="str">
        <f t="shared" si="2"/>
        <v/>
      </c>
      <c r="N21" t="str">
        <f t="shared" si="3"/>
        <v>minimal effect</v>
      </c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</row>
    <row r="22" spans="1:31">
      <c r="A22" s="10" t="s">
        <v>7</v>
      </c>
      <c r="B22" s="2">
        <v>0.5</v>
      </c>
      <c r="C22" s="2">
        <v>1E-3</v>
      </c>
      <c r="D22" s="2" t="s">
        <v>13</v>
      </c>
      <c r="E22" s="3">
        <v>8.4920142864696104E-12</v>
      </c>
      <c r="F22" s="2">
        <v>1.42760779477698E-2</v>
      </c>
      <c r="G22" s="2"/>
      <c r="H22" s="2">
        <f t="shared" si="4"/>
        <v>302</v>
      </c>
      <c r="I22">
        <f t="shared" si="0"/>
        <v>1.6556291390728477E-4</v>
      </c>
      <c r="J22" t="str">
        <f t="shared" si="5"/>
        <v>yes</v>
      </c>
      <c r="K22">
        <f t="shared" si="1"/>
        <v>3.3112582781456954E-5</v>
      </c>
      <c r="L22" t="str">
        <f t="shared" si="2"/>
        <v>yes!</v>
      </c>
      <c r="N22" t="str">
        <f t="shared" si="3"/>
        <v>minimal effect</v>
      </c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</row>
    <row r="23" spans="1:31">
      <c r="A23" s="10" t="s">
        <v>7</v>
      </c>
      <c r="B23" s="2">
        <v>0.5</v>
      </c>
      <c r="C23" s="2">
        <v>5.0000000000000001E-3</v>
      </c>
      <c r="D23" s="2" t="s">
        <v>13</v>
      </c>
      <c r="E23" s="3">
        <v>3.1989321250687701E-6</v>
      </c>
      <c r="F23" s="2">
        <v>1.0012695039700001E-2</v>
      </c>
      <c r="G23" s="2"/>
      <c r="H23" s="2">
        <f t="shared" si="4"/>
        <v>302</v>
      </c>
      <c r="I23">
        <f t="shared" si="0"/>
        <v>1.6556291390728477E-4</v>
      </c>
      <c r="J23" t="str">
        <f t="shared" si="5"/>
        <v>yes</v>
      </c>
      <c r="K23">
        <f t="shared" si="1"/>
        <v>3.3112582781456954E-5</v>
      </c>
      <c r="L23" t="str">
        <f t="shared" si="2"/>
        <v>yes!</v>
      </c>
      <c r="N23" t="str">
        <f t="shared" si="3"/>
        <v>minimal effect</v>
      </c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</row>
    <row r="24" spans="1:31">
      <c r="A24" s="10" t="s">
        <v>7</v>
      </c>
      <c r="B24" s="2">
        <v>0.5</v>
      </c>
      <c r="C24" s="2">
        <v>0.01</v>
      </c>
      <c r="D24" s="2" t="s">
        <v>13</v>
      </c>
      <c r="E24" s="2">
        <v>3.2401890365443302E-3</v>
      </c>
      <c r="F24" s="2">
        <v>6.4789389887928697E-3</v>
      </c>
      <c r="G24" s="2"/>
      <c r="H24" s="2">
        <f t="shared" si="4"/>
        <v>302</v>
      </c>
      <c r="I24">
        <f t="shared" si="0"/>
        <v>1.6556291390728477E-4</v>
      </c>
      <c r="J24" t="str">
        <f t="shared" si="5"/>
        <v>no</v>
      </c>
      <c r="K24">
        <f t="shared" si="1"/>
        <v>3.3112582781456954E-5</v>
      </c>
      <c r="L24" t="str">
        <f t="shared" si="2"/>
        <v/>
      </c>
      <c r="N24" t="str">
        <f t="shared" si="3"/>
        <v>minimal effect</v>
      </c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</row>
    <row r="25" spans="1:31">
      <c r="A25" s="10" t="s">
        <v>7</v>
      </c>
      <c r="B25" s="2">
        <v>0.5</v>
      </c>
      <c r="C25" s="2">
        <v>0.05</v>
      </c>
      <c r="D25" s="2" t="s">
        <v>13</v>
      </c>
      <c r="E25" s="3">
        <v>3.39595783969947E-4</v>
      </c>
      <c r="F25" s="2">
        <v>2.0354808409657501E-2</v>
      </c>
      <c r="G25" s="2"/>
      <c r="H25" s="2">
        <f t="shared" si="4"/>
        <v>302</v>
      </c>
      <c r="I25">
        <f t="shared" si="0"/>
        <v>1.6556291390728477E-4</v>
      </c>
      <c r="J25" t="str">
        <f t="shared" si="5"/>
        <v>no</v>
      </c>
      <c r="K25">
        <f t="shared" si="1"/>
        <v>3.3112582781456954E-5</v>
      </c>
      <c r="L25" t="str">
        <f t="shared" si="2"/>
        <v/>
      </c>
      <c r="N25" t="str">
        <f t="shared" si="3"/>
        <v>minimal effect</v>
      </c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</row>
    <row r="26" spans="1:31">
      <c r="A26" s="10" t="s">
        <v>7</v>
      </c>
      <c r="B26" s="2">
        <v>0.5625</v>
      </c>
      <c r="C26" s="2">
        <v>1E-4</v>
      </c>
      <c r="D26" s="2" t="s">
        <v>13</v>
      </c>
      <c r="E26" s="3">
        <v>1.7555679277806999E-7</v>
      </c>
      <c r="F26" s="2">
        <v>-1.07579764426036E-2</v>
      </c>
      <c r="G26" s="2"/>
      <c r="H26" s="2">
        <f>ROWS(A26:A328)-1</f>
        <v>302</v>
      </c>
      <c r="I26">
        <f t="shared" si="0"/>
        <v>1.6556291390728477E-4</v>
      </c>
      <c r="J26" t="str">
        <f t="shared" si="5"/>
        <v>yes</v>
      </c>
      <c r="K26">
        <f t="shared" si="1"/>
        <v>3.3112582781456954E-5</v>
      </c>
      <c r="L26" t="str">
        <f t="shared" si="2"/>
        <v>yes!</v>
      </c>
      <c r="N26" t="str">
        <f t="shared" si="3"/>
        <v>minimal effect</v>
      </c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</row>
    <row r="27" spans="1:31">
      <c r="A27" s="10" t="s">
        <v>7</v>
      </c>
      <c r="B27" s="2">
        <v>0.5625</v>
      </c>
      <c r="C27" s="2">
        <v>5.0000000000000001E-4</v>
      </c>
      <c r="D27" s="2" t="s">
        <v>13</v>
      </c>
      <c r="E27" s="2">
        <v>7.4777564762193202E-2</v>
      </c>
      <c r="F27" s="2">
        <v>3.7053777747894099E-3</v>
      </c>
      <c r="G27" s="2"/>
      <c r="H27" s="2">
        <f t="shared" si="4"/>
        <v>302</v>
      </c>
      <c r="I27">
        <f t="shared" si="0"/>
        <v>1.6556291390728477E-4</v>
      </c>
      <c r="J27" t="str">
        <f t="shared" si="5"/>
        <v>no</v>
      </c>
      <c r="K27">
        <f t="shared" si="1"/>
        <v>3.3112582781456954E-5</v>
      </c>
      <c r="L27" t="str">
        <f t="shared" si="2"/>
        <v/>
      </c>
      <c r="N27" t="str">
        <f t="shared" si="3"/>
        <v>minimal effect</v>
      </c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</row>
    <row r="28" spans="1:31">
      <c r="A28" s="10" t="s">
        <v>7</v>
      </c>
      <c r="B28" s="2">
        <v>0.5625</v>
      </c>
      <c r="C28" s="2">
        <v>1E-3</v>
      </c>
      <c r="D28" s="2" t="s">
        <v>13</v>
      </c>
      <c r="E28" s="2">
        <v>0.52342076130144799</v>
      </c>
      <c r="F28" s="2">
        <v>-1.33328716369908E-3</v>
      </c>
      <c r="G28" s="2"/>
      <c r="H28" s="2">
        <f t="shared" si="4"/>
        <v>302</v>
      </c>
      <c r="I28">
        <f t="shared" si="0"/>
        <v>1.6556291390728477E-4</v>
      </c>
      <c r="J28" t="str">
        <f t="shared" si="5"/>
        <v>no</v>
      </c>
      <c r="K28">
        <f t="shared" si="1"/>
        <v>3.3112582781456954E-5</v>
      </c>
      <c r="L28" t="str">
        <f t="shared" si="2"/>
        <v/>
      </c>
      <c r="N28" t="str">
        <f t="shared" si="3"/>
        <v>minimal effect</v>
      </c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</row>
    <row r="29" spans="1:31">
      <c r="A29" s="10" t="s">
        <v>7</v>
      </c>
      <c r="B29" s="2">
        <v>0.5625</v>
      </c>
      <c r="C29" s="2">
        <v>5.0000000000000001E-3</v>
      </c>
      <c r="D29" s="2" t="s">
        <v>13</v>
      </c>
      <c r="E29" s="3">
        <v>3.17798882971968E-21</v>
      </c>
      <c r="F29" s="2">
        <v>2.0195334761493499E-2</v>
      </c>
      <c r="G29" s="2"/>
      <c r="H29" s="2">
        <f t="shared" si="4"/>
        <v>302</v>
      </c>
      <c r="I29">
        <f t="shared" si="0"/>
        <v>1.6556291390728477E-4</v>
      </c>
      <c r="J29" t="str">
        <f t="shared" si="5"/>
        <v>yes</v>
      </c>
      <c r="K29">
        <f t="shared" si="1"/>
        <v>3.3112582781456954E-5</v>
      </c>
      <c r="L29" t="str">
        <f t="shared" si="2"/>
        <v>yes!</v>
      </c>
      <c r="N29" t="str">
        <f t="shared" si="3"/>
        <v>minimal effect</v>
      </c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</row>
    <row r="30" spans="1:31">
      <c r="A30" s="10" t="s">
        <v>7</v>
      </c>
      <c r="B30" s="2">
        <v>0.5625</v>
      </c>
      <c r="C30" s="2">
        <v>0.01</v>
      </c>
      <c r="D30" s="2" t="s">
        <v>13</v>
      </c>
      <c r="E30" s="3">
        <v>6.2229742046935002E-14</v>
      </c>
      <c r="F30" s="2">
        <v>1.6302285327622401E-2</v>
      </c>
      <c r="G30" s="2"/>
      <c r="H30" s="2">
        <f t="shared" si="4"/>
        <v>302</v>
      </c>
      <c r="I30">
        <f t="shared" si="0"/>
        <v>1.6556291390728477E-4</v>
      </c>
      <c r="J30" t="str">
        <f t="shared" si="5"/>
        <v>yes</v>
      </c>
      <c r="K30">
        <f t="shared" si="1"/>
        <v>3.3112582781456954E-5</v>
      </c>
      <c r="L30" t="str">
        <f t="shared" si="2"/>
        <v>yes!</v>
      </c>
      <c r="N30" t="str">
        <f t="shared" si="3"/>
        <v>minimal effect</v>
      </c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</row>
    <row r="31" spans="1:31">
      <c r="A31" s="10" t="s">
        <v>7</v>
      </c>
      <c r="B31" s="2">
        <v>0.5625</v>
      </c>
      <c r="C31" s="2">
        <v>0.05</v>
      </c>
      <c r="D31" s="2" t="s">
        <v>13</v>
      </c>
      <c r="E31" s="3">
        <v>2.3547320024170999E-5</v>
      </c>
      <c r="F31" s="2">
        <v>9.9510042555673202E-3</v>
      </c>
      <c r="G31" s="2"/>
      <c r="H31" s="2">
        <f t="shared" si="4"/>
        <v>302</v>
      </c>
      <c r="I31">
        <f t="shared" si="0"/>
        <v>1.6556291390728477E-4</v>
      </c>
      <c r="J31" t="str">
        <f t="shared" si="5"/>
        <v>yes</v>
      </c>
      <c r="K31">
        <f t="shared" si="1"/>
        <v>3.3112582781456954E-5</v>
      </c>
      <c r="L31" t="str">
        <f t="shared" si="2"/>
        <v>yes!</v>
      </c>
      <c r="N31" t="str">
        <f t="shared" si="3"/>
        <v>minimal effect</v>
      </c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</row>
    <row r="32" spans="1:31">
      <c r="A32" s="10" t="s">
        <v>7</v>
      </c>
      <c r="B32" s="2">
        <v>0.5625</v>
      </c>
      <c r="C32" s="2">
        <v>0.1</v>
      </c>
      <c r="D32" s="2" t="s">
        <v>13</v>
      </c>
      <c r="E32" s="2">
        <v>0.24976903413556301</v>
      </c>
      <c r="F32" s="2">
        <v>5.1420557374704003E-3</v>
      </c>
      <c r="G32" s="2"/>
      <c r="H32" s="2">
        <f t="shared" si="4"/>
        <v>302</v>
      </c>
      <c r="I32">
        <f t="shared" si="0"/>
        <v>1.6556291390728477E-4</v>
      </c>
      <c r="J32" t="str">
        <f t="shared" si="5"/>
        <v>no</v>
      </c>
      <c r="K32">
        <f t="shared" si="1"/>
        <v>3.3112582781456954E-5</v>
      </c>
      <c r="L32" t="str">
        <f t="shared" si="2"/>
        <v/>
      </c>
      <c r="N32" t="str">
        <f t="shared" si="3"/>
        <v>minimal effect</v>
      </c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</row>
    <row r="33" spans="1:31">
      <c r="A33" s="10" t="s">
        <v>7</v>
      </c>
      <c r="B33" s="2">
        <v>0.625</v>
      </c>
      <c r="C33" s="2">
        <v>1E-4</v>
      </c>
      <c r="D33" s="2" t="s">
        <v>13</v>
      </c>
      <c r="E33" s="3">
        <v>5.3239148028437598E-276</v>
      </c>
      <c r="F33" s="2">
        <v>-7.3375352999467999E-2</v>
      </c>
      <c r="G33" s="2"/>
      <c r="H33" s="2">
        <f t="shared" si="4"/>
        <v>302</v>
      </c>
      <c r="I33">
        <f t="shared" si="0"/>
        <v>1.6556291390728477E-4</v>
      </c>
      <c r="J33" t="str">
        <f t="shared" si="5"/>
        <v>yes</v>
      </c>
      <c r="K33">
        <f t="shared" si="1"/>
        <v>3.3112582781456954E-5</v>
      </c>
      <c r="L33" t="str">
        <f t="shared" si="2"/>
        <v>yes!</v>
      </c>
      <c r="N33" t="str">
        <f t="shared" si="3"/>
        <v>minimal effect</v>
      </c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</row>
    <row r="34" spans="1:31">
      <c r="A34" s="10" t="s">
        <v>7</v>
      </c>
      <c r="B34" s="2">
        <v>0.625</v>
      </c>
      <c r="C34" s="2">
        <v>5.0000000000000001E-4</v>
      </c>
      <c r="D34" s="2" t="s">
        <v>13</v>
      </c>
      <c r="E34" s="3">
        <v>5.8021318087281904E-104</v>
      </c>
      <c r="F34" s="2">
        <v>4.4998143107559098E-2</v>
      </c>
      <c r="G34" s="2"/>
      <c r="H34" s="2">
        <f t="shared" si="4"/>
        <v>302</v>
      </c>
      <c r="I34">
        <f t="shared" ref="I34:I65" si="6">0.05/H34</f>
        <v>1.6556291390728477E-4</v>
      </c>
      <c r="J34" t="str">
        <f t="shared" si="5"/>
        <v>yes</v>
      </c>
      <c r="K34">
        <f t="shared" ref="K34:K65" si="7">0.01/H34</f>
        <v>3.3112582781456954E-5</v>
      </c>
      <c r="L34" t="str">
        <f t="shared" ref="L34:L65" si="8">IF(E34&lt;K34,"yes!","")</f>
        <v>yes!</v>
      </c>
      <c r="N34" t="str">
        <f t="shared" ref="N34:N65" si="9">IF(ABS(F34)&lt;0.11,"minimal effect",IF(ABS(F34)&lt;0.28,"small",IF(ABS(F34)&lt;0.43,"medium","large")))</f>
        <v>minimal effect</v>
      </c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</row>
    <row r="35" spans="1:31">
      <c r="A35" s="10" t="s">
        <v>7</v>
      </c>
      <c r="B35" s="2">
        <v>0.625</v>
      </c>
      <c r="C35" s="2">
        <v>1E-3</v>
      </c>
      <c r="D35" s="2" t="s">
        <v>13</v>
      </c>
      <c r="E35" s="2">
        <v>0.400731806145537</v>
      </c>
      <c r="F35" s="2">
        <v>1.7585657947942401E-3</v>
      </c>
      <c r="G35" s="2"/>
      <c r="H35" s="2">
        <f t="shared" si="4"/>
        <v>302</v>
      </c>
      <c r="I35">
        <f t="shared" si="6"/>
        <v>1.6556291390728477E-4</v>
      </c>
      <c r="J35" t="str">
        <f t="shared" si="5"/>
        <v>no</v>
      </c>
      <c r="K35">
        <f t="shared" si="7"/>
        <v>3.3112582781456954E-5</v>
      </c>
      <c r="L35" t="str">
        <f t="shared" si="8"/>
        <v/>
      </c>
      <c r="N35" t="str">
        <f t="shared" si="9"/>
        <v>minimal effect</v>
      </c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</row>
    <row r="36" spans="1:31">
      <c r="A36" s="10" t="s">
        <v>7</v>
      </c>
      <c r="B36" s="2">
        <v>0.625</v>
      </c>
      <c r="C36" s="2">
        <v>5.0000000000000001E-3</v>
      </c>
      <c r="D36" s="2" t="s">
        <v>13</v>
      </c>
      <c r="E36" s="2">
        <v>3.5322175569049701E-2</v>
      </c>
      <c r="F36" s="2">
        <v>4.4734317177763799E-3</v>
      </c>
      <c r="G36" s="2"/>
      <c r="H36" s="2">
        <f t="shared" si="4"/>
        <v>302</v>
      </c>
      <c r="I36">
        <f t="shared" si="6"/>
        <v>1.6556291390728477E-4</v>
      </c>
      <c r="J36" t="str">
        <f t="shared" si="5"/>
        <v>no</v>
      </c>
      <c r="K36">
        <f t="shared" si="7"/>
        <v>3.3112582781456954E-5</v>
      </c>
      <c r="L36" t="str">
        <f t="shared" si="8"/>
        <v/>
      </c>
      <c r="N36" t="str">
        <f t="shared" si="9"/>
        <v>minimal effect</v>
      </c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</row>
    <row r="37" spans="1:31">
      <c r="A37" s="10" t="s">
        <v>7</v>
      </c>
      <c r="B37" s="2">
        <v>0.625</v>
      </c>
      <c r="C37" s="2">
        <v>0.01</v>
      </c>
      <c r="D37" s="2" t="s">
        <v>13</v>
      </c>
      <c r="E37" s="2">
        <v>0.25189870990080099</v>
      </c>
      <c r="F37" s="2">
        <v>2.4615486828128501E-3</v>
      </c>
      <c r="G37" s="2"/>
      <c r="H37" s="2">
        <f t="shared" si="4"/>
        <v>302</v>
      </c>
      <c r="I37">
        <f t="shared" si="6"/>
        <v>1.6556291390728477E-4</v>
      </c>
      <c r="J37" t="str">
        <f t="shared" si="5"/>
        <v>no</v>
      </c>
      <c r="K37">
        <f t="shared" si="7"/>
        <v>3.3112582781456954E-5</v>
      </c>
      <c r="L37" t="str">
        <f t="shared" si="8"/>
        <v/>
      </c>
      <c r="N37" t="str">
        <f t="shared" si="9"/>
        <v>minimal effect</v>
      </c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</row>
    <row r="38" spans="1:31">
      <c r="A38" s="10" t="s">
        <v>7</v>
      </c>
      <c r="B38" s="2">
        <v>0.625</v>
      </c>
      <c r="C38" s="2">
        <v>0.05</v>
      </c>
      <c r="D38" s="2" t="s">
        <v>13</v>
      </c>
      <c r="E38" s="2">
        <v>2.0112109230823499E-2</v>
      </c>
      <c r="F38" s="2">
        <v>5.1957969958088901E-3</v>
      </c>
      <c r="G38" s="2"/>
      <c r="H38" s="2">
        <f t="shared" si="4"/>
        <v>302</v>
      </c>
      <c r="I38">
        <f t="shared" si="6"/>
        <v>1.6556291390728477E-4</v>
      </c>
      <c r="J38" t="str">
        <f t="shared" si="5"/>
        <v>no</v>
      </c>
      <c r="K38">
        <f t="shared" si="7"/>
        <v>3.3112582781456954E-5</v>
      </c>
      <c r="L38" t="str">
        <f t="shared" si="8"/>
        <v/>
      </c>
      <c r="N38" t="str">
        <f t="shared" si="9"/>
        <v>minimal effect</v>
      </c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</row>
    <row r="39" spans="1:31">
      <c r="A39" s="10" t="s">
        <v>7</v>
      </c>
      <c r="B39" s="2">
        <v>0.625</v>
      </c>
      <c r="C39" s="2">
        <v>0.1</v>
      </c>
      <c r="D39" s="2" t="s">
        <v>13</v>
      </c>
      <c r="E39" s="2">
        <v>0.66342637510746105</v>
      </c>
      <c r="F39" s="3">
        <v>9.916129813749171E-4</v>
      </c>
      <c r="G39" s="2"/>
      <c r="H39" s="2">
        <f t="shared" si="4"/>
        <v>302</v>
      </c>
      <c r="I39">
        <f t="shared" si="6"/>
        <v>1.6556291390728477E-4</v>
      </c>
      <c r="J39" t="str">
        <f t="shared" si="5"/>
        <v>no</v>
      </c>
      <c r="K39">
        <f t="shared" si="7"/>
        <v>3.3112582781456954E-5</v>
      </c>
      <c r="L39" t="str">
        <f t="shared" si="8"/>
        <v/>
      </c>
      <c r="N39" t="str">
        <f t="shared" si="9"/>
        <v>minimal effect</v>
      </c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</row>
    <row r="40" spans="1:31">
      <c r="A40" s="12" t="s">
        <v>11</v>
      </c>
      <c r="B40" s="4">
        <v>0.3125</v>
      </c>
      <c r="C40" s="23">
        <v>1E-4</v>
      </c>
      <c r="D40" s="4" t="s">
        <v>13</v>
      </c>
      <c r="E40" s="4">
        <v>0</v>
      </c>
      <c r="F40" s="4">
        <v>-0.88481752606073705</v>
      </c>
      <c r="G40" s="4"/>
      <c r="H40" s="4">
        <f t="shared" si="4"/>
        <v>302</v>
      </c>
      <c r="I40" s="6">
        <f t="shared" si="6"/>
        <v>1.6556291390728477E-4</v>
      </c>
      <c r="J40" s="6" t="str">
        <f t="shared" si="5"/>
        <v>yes</v>
      </c>
      <c r="K40" s="6">
        <f t="shared" si="7"/>
        <v>3.3112582781456954E-5</v>
      </c>
      <c r="L40" s="6" t="str">
        <f t="shared" si="8"/>
        <v>yes!</v>
      </c>
      <c r="M40" s="6"/>
      <c r="N40" s="6" t="str">
        <f t="shared" si="9"/>
        <v>large</v>
      </c>
      <c r="O40" s="6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</row>
    <row r="41" spans="1:31">
      <c r="A41" s="18" t="s">
        <v>11</v>
      </c>
      <c r="B41" s="2">
        <v>0.375</v>
      </c>
      <c r="C41" s="24">
        <v>1E-4</v>
      </c>
      <c r="D41" s="2" t="s">
        <v>13</v>
      </c>
      <c r="E41" s="2">
        <v>0</v>
      </c>
      <c r="F41" s="2">
        <v>-0.31070055787835799</v>
      </c>
      <c r="G41" s="2"/>
      <c r="H41" s="2">
        <f t="shared" si="4"/>
        <v>302</v>
      </c>
      <c r="I41">
        <f t="shared" si="6"/>
        <v>1.6556291390728477E-4</v>
      </c>
      <c r="J41" t="str">
        <f t="shared" si="5"/>
        <v>yes</v>
      </c>
      <c r="K41">
        <f t="shared" si="7"/>
        <v>3.3112582781456954E-5</v>
      </c>
      <c r="L41" t="str">
        <f t="shared" si="8"/>
        <v>yes!</v>
      </c>
      <c r="N41" t="str">
        <f t="shared" si="9"/>
        <v>medium</v>
      </c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</row>
    <row r="42" spans="1:31">
      <c r="A42" s="18" t="s">
        <v>11</v>
      </c>
      <c r="B42" s="2">
        <v>0.375</v>
      </c>
      <c r="C42" s="25">
        <v>5.0000000000000001E-4</v>
      </c>
      <c r="D42" s="2" t="s">
        <v>13</v>
      </c>
      <c r="E42" s="2">
        <v>0</v>
      </c>
      <c r="F42" s="2">
        <v>-0.95279250747992705</v>
      </c>
      <c r="G42" s="2"/>
      <c r="H42" s="2">
        <f t="shared" si="4"/>
        <v>302</v>
      </c>
      <c r="I42">
        <f t="shared" si="6"/>
        <v>1.6556291390728477E-4</v>
      </c>
      <c r="J42" t="str">
        <f t="shared" si="5"/>
        <v>yes</v>
      </c>
      <c r="K42">
        <f t="shared" si="7"/>
        <v>3.3112582781456954E-5</v>
      </c>
      <c r="L42" t="str">
        <f t="shared" si="8"/>
        <v>yes!</v>
      </c>
      <c r="N42" t="str">
        <f t="shared" si="9"/>
        <v>large</v>
      </c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</row>
    <row r="43" spans="1:31">
      <c r="A43" s="18" t="s">
        <v>11</v>
      </c>
      <c r="B43" s="2">
        <v>0.375</v>
      </c>
      <c r="C43" s="2">
        <v>5.0000000000000001E-3</v>
      </c>
      <c r="D43" s="2" t="s">
        <v>13</v>
      </c>
      <c r="E43" s="2">
        <v>1.2598283016082199E-3</v>
      </c>
      <c r="F43" s="2">
        <v>-5.2729895208583101E-3</v>
      </c>
      <c r="G43" s="2"/>
      <c r="H43" s="2">
        <f t="shared" si="4"/>
        <v>302</v>
      </c>
      <c r="I43">
        <f t="shared" si="6"/>
        <v>1.6556291390728477E-4</v>
      </c>
      <c r="J43" t="str">
        <f t="shared" si="5"/>
        <v>no</v>
      </c>
      <c r="K43">
        <f t="shared" si="7"/>
        <v>3.3112582781456954E-5</v>
      </c>
      <c r="L43" t="str">
        <f t="shared" si="8"/>
        <v/>
      </c>
      <c r="N43" t="str">
        <f t="shared" si="9"/>
        <v>minimal effect</v>
      </c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</row>
    <row r="44" spans="1:31">
      <c r="A44" s="18" t="s">
        <v>11</v>
      </c>
      <c r="B44" s="2">
        <v>0.375</v>
      </c>
      <c r="C44" s="2">
        <v>0.01</v>
      </c>
      <c r="D44" s="2" t="s">
        <v>13</v>
      </c>
      <c r="E44" s="2">
        <v>0.82669445517125695</v>
      </c>
      <c r="F44" s="3">
        <v>-3.5502844664877099E-4</v>
      </c>
      <c r="G44" s="2"/>
      <c r="H44" s="2">
        <f t="shared" si="4"/>
        <v>302</v>
      </c>
      <c r="I44">
        <f t="shared" si="6"/>
        <v>1.6556291390728477E-4</v>
      </c>
      <c r="J44" t="str">
        <f t="shared" si="5"/>
        <v>no</v>
      </c>
      <c r="K44">
        <f t="shared" si="7"/>
        <v>3.3112582781456954E-5</v>
      </c>
      <c r="L44" t="str">
        <f t="shared" si="8"/>
        <v/>
      </c>
      <c r="N44" t="str">
        <f t="shared" si="9"/>
        <v>minimal effect</v>
      </c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</row>
    <row r="45" spans="1:31">
      <c r="A45" s="18" t="s">
        <v>11</v>
      </c>
      <c r="B45" s="2">
        <v>0.375</v>
      </c>
      <c r="C45" s="2">
        <v>0.05</v>
      </c>
      <c r="D45" s="2" t="s">
        <v>13</v>
      </c>
      <c r="E45" s="2">
        <v>0.203883755565053</v>
      </c>
      <c r="F45" s="2">
        <v>-2.06480121000491E-3</v>
      </c>
      <c r="G45" s="2"/>
      <c r="H45" s="2">
        <f t="shared" si="4"/>
        <v>302</v>
      </c>
      <c r="I45">
        <f t="shared" si="6"/>
        <v>1.6556291390728477E-4</v>
      </c>
      <c r="J45" t="str">
        <f t="shared" si="5"/>
        <v>no</v>
      </c>
      <c r="K45">
        <f t="shared" si="7"/>
        <v>3.3112582781456954E-5</v>
      </c>
      <c r="L45" t="str">
        <f t="shared" si="8"/>
        <v/>
      </c>
      <c r="N45" t="str">
        <f t="shared" si="9"/>
        <v>minimal effect</v>
      </c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</row>
    <row r="46" spans="1:31">
      <c r="A46" s="18" t="s">
        <v>11</v>
      </c>
      <c r="B46" s="2">
        <v>0.375</v>
      </c>
      <c r="C46" s="2">
        <v>0.1</v>
      </c>
      <c r="D46" s="2" t="s">
        <v>13</v>
      </c>
      <c r="E46" s="2">
        <v>8.9389185297609003E-2</v>
      </c>
      <c r="F46" s="2">
        <v>2.77391733825202E-3</v>
      </c>
      <c r="G46" s="2"/>
      <c r="H46" s="2">
        <f t="shared" si="4"/>
        <v>302</v>
      </c>
      <c r="I46">
        <f t="shared" si="6"/>
        <v>1.6556291390728477E-4</v>
      </c>
      <c r="J46" t="str">
        <f t="shared" si="5"/>
        <v>no</v>
      </c>
      <c r="K46">
        <f t="shared" si="7"/>
        <v>3.3112582781456954E-5</v>
      </c>
      <c r="L46" t="str">
        <f t="shared" si="8"/>
        <v/>
      </c>
      <c r="N46" t="str">
        <f t="shared" si="9"/>
        <v>minimal effect</v>
      </c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</row>
    <row r="47" spans="1:31">
      <c r="A47" s="18" t="s">
        <v>11</v>
      </c>
      <c r="B47" s="2">
        <v>0.4375</v>
      </c>
      <c r="C47" s="24">
        <v>1E-4</v>
      </c>
      <c r="D47" s="2" t="s">
        <v>13</v>
      </c>
      <c r="E47" s="2">
        <v>0</v>
      </c>
      <c r="F47" s="2">
        <v>0.31669276201461</v>
      </c>
      <c r="G47" s="2"/>
      <c r="H47" s="2">
        <f t="shared" si="4"/>
        <v>302</v>
      </c>
      <c r="I47">
        <f t="shared" si="6"/>
        <v>1.6556291390728477E-4</v>
      </c>
      <c r="J47" t="str">
        <f t="shared" si="5"/>
        <v>yes</v>
      </c>
      <c r="K47">
        <f t="shared" si="7"/>
        <v>3.3112582781456954E-5</v>
      </c>
      <c r="L47" t="str">
        <f t="shared" si="8"/>
        <v>yes!</v>
      </c>
      <c r="N47" t="str">
        <f t="shared" si="9"/>
        <v>medium</v>
      </c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</row>
    <row r="48" spans="1:31">
      <c r="A48" s="18" t="s">
        <v>11</v>
      </c>
      <c r="B48" s="2">
        <v>0.4375</v>
      </c>
      <c r="C48" s="25">
        <v>5.0000000000000001E-4</v>
      </c>
      <c r="D48" s="2" t="s">
        <v>13</v>
      </c>
      <c r="E48" s="2">
        <v>0</v>
      </c>
      <c r="F48" s="2">
        <v>-0.89462111929527299</v>
      </c>
      <c r="G48" s="2"/>
      <c r="H48" s="2">
        <f t="shared" si="4"/>
        <v>302</v>
      </c>
      <c r="I48">
        <f t="shared" si="6"/>
        <v>1.6556291390728477E-4</v>
      </c>
      <c r="J48" t="str">
        <f t="shared" si="5"/>
        <v>yes</v>
      </c>
      <c r="K48">
        <f t="shared" si="7"/>
        <v>3.3112582781456954E-5</v>
      </c>
      <c r="L48" t="str">
        <f t="shared" si="8"/>
        <v>yes!</v>
      </c>
      <c r="N48" t="str">
        <f t="shared" si="9"/>
        <v>large</v>
      </c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</row>
    <row r="49" spans="1:31">
      <c r="A49" s="18" t="s">
        <v>11</v>
      </c>
      <c r="B49" s="2">
        <v>0.4375</v>
      </c>
      <c r="C49" s="2">
        <v>5.0000000000000001E-3</v>
      </c>
      <c r="D49" s="2" t="s">
        <v>13</v>
      </c>
      <c r="E49" s="2">
        <v>0.63923302868259702</v>
      </c>
      <c r="F49" s="2">
        <v>2.0498693737846701E-3</v>
      </c>
      <c r="G49" s="2"/>
      <c r="H49" s="2">
        <f t="shared" si="4"/>
        <v>302</v>
      </c>
      <c r="I49">
        <f t="shared" si="6"/>
        <v>1.6556291390728477E-4</v>
      </c>
      <c r="J49" t="str">
        <f t="shared" si="5"/>
        <v>no</v>
      </c>
      <c r="K49">
        <f t="shared" si="7"/>
        <v>3.3112582781456954E-5</v>
      </c>
      <c r="L49" t="str">
        <f t="shared" si="8"/>
        <v/>
      </c>
      <c r="N49" t="str">
        <f t="shared" si="9"/>
        <v>minimal effect</v>
      </c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</row>
    <row r="50" spans="1:31">
      <c r="A50" s="18" t="s">
        <v>11</v>
      </c>
      <c r="B50" s="2">
        <v>0.4375</v>
      </c>
      <c r="C50" s="2">
        <v>0.01</v>
      </c>
      <c r="D50" s="2" t="s">
        <v>13</v>
      </c>
      <c r="E50" s="3">
        <v>1.0123317252734499E-110</v>
      </c>
      <c r="F50" s="2">
        <v>-4.3955010817071503E-2</v>
      </c>
      <c r="G50" s="2"/>
      <c r="H50" s="2">
        <f t="shared" si="4"/>
        <v>302</v>
      </c>
      <c r="I50">
        <f t="shared" si="6"/>
        <v>1.6556291390728477E-4</v>
      </c>
      <c r="J50" t="str">
        <f t="shared" si="5"/>
        <v>yes</v>
      </c>
      <c r="K50">
        <f t="shared" si="7"/>
        <v>3.3112582781456954E-5</v>
      </c>
      <c r="L50" t="str">
        <f t="shared" si="8"/>
        <v>yes!</v>
      </c>
      <c r="N50" t="str">
        <f t="shared" si="9"/>
        <v>minimal effect</v>
      </c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</row>
    <row r="51" spans="1:31">
      <c r="A51" s="18" t="s">
        <v>11</v>
      </c>
      <c r="B51" s="2">
        <v>0.4375</v>
      </c>
      <c r="C51" s="2">
        <v>0.05</v>
      </c>
      <c r="D51" s="2" t="s">
        <v>13</v>
      </c>
      <c r="E51" s="2">
        <v>0.55816444836408796</v>
      </c>
      <c r="F51" s="3">
        <v>9.0430520744214701E-4</v>
      </c>
      <c r="G51" s="2"/>
      <c r="H51" s="2">
        <f t="shared" si="4"/>
        <v>302</v>
      </c>
      <c r="I51">
        <f t="shared" si="6"/>
        <v>1.6556291390728477E-4</v>
      </c>
      <c r="J51" t="str">
        <f t="shared" si="5"/>
        <v>no</v>
      </c>
      <c r="K51">
        <f t="shared" si="7"/>
        <v>3.3112582781456954E-5</v>
      </c>
      <c r="L51" t="str">
        <f t="shared" si="8"/>
        <v/>
      </c>
      <c r="N51" t="str">
        <f t="shared" si="9"/>
        <v>minimal effect</v>
      </c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</row>
    <row r="52" spans="1:31">
      <c r="A52" s="18" t="s">
        <v>11</v>
      </c>
      <c r="B52" s="2">
        <v>0.4375</v>
      </c>
      <c r="C52" s="2">
        <v>0.1</v>
      </c>
      <c r="D52" s="2" t="s">
        <v>13</v>
      </c>
      <c r="E52" s="2">
        <v>0.44122247652927699</v>
      </c>
      <c r="F52" s="2">
        <v>-1.19025390066118E-3</v>
      </c>
      <c r="G52" s="2"/>
      <c r="H52" s="2">
        <f t="shared" si="4"/>
        <v>302</v>
      </c>
      <c r="I52">
        <f t="shared" si="6"/>
        <v>1.6556291390728477E-4</v>
      </c>
      <c r="J52" t="str">
        <f t="shared" si="5"/>
        <v>no</v>
      </c>
      <c r="K52">
        <f t="shared" si="7"/>
        <v>3.3112582781456954E-5</v>
      </c>
      <c r="L52" t="str">
        <f t="shared" si="8"/>
        <v/>
      </c>
      <c r="N52" t="str">
        <f t="shared" si="9"/>
        <v>minimal effect</v>
      </c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</row>
    <row r="53" spans="1:31">
      <c r="A53" s="18" t="s">
        <v>11</v>
      </c>
      <c r="B53" s="2">
        <v>0.5</v>
      </c>
      <c r="C53" s="24">
        <v>1E-4</v>
      </c>
      <c r="D53" s="2" t="s">
        <v>13</v>
      </c>
      <c r="E53" s="2">
        <v>0</v>
      </c>
      <c r="F53" s="2">
        <v>0.55953078853155602</v>
      </c>
      <c r="G53" s="2"/>
      <c r="H53" s="2">
        <f t="shared" si="4"/>
        <v>302</v>
      </c>
      <c r="I53">
        <f t="shared" si="6"/>
        <v>1.6556291390728477E-4</v>
      </c>
      <c r="J53" t="str">
        <f t="shared" si="5"/>
        <v>yes</v>
      </c>
      <c r="K53">
        <f t="shared" si="7"/>
        <v>3.3112582781456954E-5</v>
      </c>
      <c r="L53" t="str">
        <f t="shared" si="8"/>
        <v>yes!</v>
      </c>
      <c r="N53" t="str">
        <f t="shared" si="9"/>
        <v>large</v>
      </c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</row>
    <row r="54" spans="1:31">
      <c r="A54" s="18" t="s">
        <v>11</v>
      </c>
      <c r="B54" s="2">
        <v>0.5</v>
      </c>
      <c r="C54" s="25">
        <v>5.0000000000000001E-4</v>
      </c>
      <c r="D54" s="2" t="s">
        <v>13</v>
      </c>
      <c r="E54" s="2">
        <v>0</v>
      </c>
      <c r="F54" s="2">
        <v>-0.75294056323143399</v>
      </c>
      <c r="G54" s="2"/>
      <c r="H54" s="2">
        <f t="shared" si="4"/>
        <v>302</v>
      </c>
      <c r="I54">
        <f t="shared" si="6"/>
        <v>1.6556291390728477E-4</v>
      </c>
      <c r="J54" t="str">
        <f t="shared" si="5"/>
        <v>yes</v>
      </c>
      <c r="K54">
        <f t="shared" si="7"/>
        <v>3.3112582781456954E-5</v>
      </c>
      <c r="L54" t="str">
        <f t="shared" si="8"/>
        <v>yes!</v>
      </c>
      <c r="N54" t="str">
        <f t="shared" si="9"/>
        <v>large</v>
      </c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</row>
    <row r="55" spans="1:31">
      <c r="A55" s="18" t="s">
        <v>11</v>
      </c>
      <c r="B55" s="2">
        <v>0.5</v>
      </c>
      <c r="C55" s="2">
        <v>0.05</v>
      </c>
      <c r="D55" s="2" t="s">
        <v>13</v>
      </c>
      <c r="E55" s="2">
        <v>0.375028009086112</v>
      </c>
      <c r="F55" s="2">
        <v>1.3750954658175601E-3</v>
      </c>
      <c r="G55" s="2"/>
      <c r="H55" s="2">
        <f t="shared" si="4"/>
        <v>302</v>
      </c>
      <c r="I55">
        <f t="shared" si="6"/>
        <v>1.6556291390728477E-4</v>
      </c>
      <c r="J55" t="str">
        <f t="shared" si="5"/>
        <v>no</v>
      </c>
      <c r="K55">
        <f t="shared" si="7"/>
        <v>3.3112582781456954E-5</v>
      </c>
      <c r="L55" t="str">
        <f t="shared" si="8"/>
        <v/>
      </c>
      <c r="N55" t="str">
        <f t="shared" si="9"/>
        <v>minimal effect</v>
      </c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</row>
    <row r="56" spans="1:31">
      <c r="A56" s="18" t="s">
        <v>11</v>
      </c>
      <c r="B56" s="2">
        <v>0.5</v>
      </c>
      <c r="C56" s="2">
        <v>0.1</v>
      </c>
      <c r="D56" s="2" t="s">
        <v>13</v>
      </c>
      <c r="E56" s="2">
        <v>0.35756660255843198</v>
      </c>
      <c r="F56" s="2">
        <v>-1.3978065828227401E-3</v>
      </c>
      <c r="G56" s="2"/>
      <c r="H56" s="2">
        <f t="shared" si="4"/>
        <v>302</v>
      </c>
      <c r="I56">
        <f t="shared" si="6"/>
        <v>1.6556291390728477E-4</v>
      </c>
      <c r="J56" t="str">
        <f t="shared" si="5"/>
        <v>no</v>
      </c>
      <c r="K56">
        <f t="shared" si="7"/>
        <v>3.3112582781456954E-5</v>
      </c>
      <c r="L56" t="str">
        <f t="shared" si="8"/>
        <v/>
      </c>
      <c r="N56" t="str">
        <f t="shared" si="9"/>
        <v>minimal effect</v>
      </c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</row>
    <row r="57" spans="1:31">
      <c r="A57" s="18" t="s">
        <v>11</v>
      </c>
      <c r="B57" s="2">
        <v>0.5625</v>
      </c>
      <c r="C57" s="24">
        <v>1E-4</v>
      </c>
      <c r="D57" s="2" t="s">
        <v>13</v>
      </c>
      <c r="E57" s="2">
        <v>0</v>
      </c>
      <c r="F57" s="2">
        <v>0.65586183718244295</v>
      </c>
      <c r="G57" s="2"/>
      <c r="H57" s="2">
        <f t="shared" si="4"/>
        <v>302</v>
      </c>
      <c r="I57">
        <f t="shared" si="6"/>
        <v>1.6556291390728477E-4</v>
      </c>
      <c r="J57" t="str">
        <f t="shared" si="5"/>
        <v>yes</v>
      </c>
      <c r="K57">
        <f t="shared" si="7"/>
        <v>3.3112582781456954E-5</v>
      </c>
      <c r="L57" t="str">
        <f t="shared" si="8"/>
        <v>yes!</v>
      </c>
      <c r="N57" t="str">
        <f t="shared" si="9"/>
        <v>large</v>
      </c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</row>
    <row r="58" spans="1:31">
      <c r="A58" s="18" t="s">
        <v>11</v>
      </c>
      <c r="B58" s="2">
        <v>0.5625</v>
      </c>
      <c r="C58" s="25">
        <v>5.0000000000000001E-4</v>
      </c>
      <c r="D58" s="2" t="s">
        <v>13</v>
      </c>
      <c r="E58" s="2">
        <v>0</v>
      </c>
      <c r="F58" s="2">
        <v>-0.70008000942558901</v>
      </c>
      <c r="G58" s="2"/>
      <c r="H58" s="2">
        <f t="shared" si="4"/>
        <v>302</v>
      </c>
      <c r="I58">
        <f t="shared" si="6"/>
        <v>1.6556291390728477E-4</v>
      </c>
      <c r="J58" t="str">
        <f t="shared" si="5"/>
        <v>yes</v>
      </c>
      <c r="K58">
        <f t="shared" si="7"/>
        <v>3.3112582781456954E-5</v>
      </c>
      <c r="L58" t="str">
        <f t="shared" si="8"/>
        <v>yes!</v>
      </c>
      <c r="N58" t="str">
        <f t="shared" si="9"/>
        <v>large</v>
      </c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</row>
    <row r="59" spans="1:31">
      <c r="A59" s="18" t="s">
        <v>11</v>
      </c>
      <c r="B59" s="2">
        <v>0.5625</v>
      </c>
      <c r="C59" s="2">
        <v>0.01</v>
      </c>
      <c r="D59" s="2" t="s">
        <v>13</v>
      </c>
      <c r="E59" s="3">
        <v>3.6921246371547203E-17</v>
      </c>
      <c r="F59" s="2">
        <v>5.6225444583214497E-2</v>
      </c>
      <c r="G59" s="2"/>
      <c r="H59" s="2">
        <f t="shared" si="4"/>
        <v>302</v>
      </c>
      <c r="I59">
        <f t="shared" si="6"/>
        <v>1.6556291390728477E-4</v>
      </c>
      <c r="J59" t="str">
        <f t="shared" si="5"/>
        <v>yes</v>
      </c>
      <c r="K59">
        <f t="shared" si="7"/>
        <v>3.3112582781456954E-5</v>
      </c>
      <c r="L59" t="str">
        <f t="shared" si="8"/>
        <v>yes!</v>
      </c>
      <c r="N59" t="str">
        <f t="shared" si="9"/>
        <v>minimal effect</v>
      </c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</row>
    <row r="60" spans="1:31">
      <c r="A60" s="18" t="s">
        <v>11</v>
      </c>
      <c r="B60" s="2">
        <v>0.5625</v>
      </c>
      <c r="C60" s="2">
        <v>0.05</v>
      </c>
      <c r="D60" s="2" t="s">
        <v>13</v>
      </c>
      <c r="E60" s="3">
        <v>1.45459686987359E-73</v>
      </c>
      <c r="F60" s="2">
        <v>4.1791315761760997E-2</v>
      </c>
      <c r="G60" s="2"/>
      <c r="H60" s="2">
        <f t="shared" si="4"/>
        <v>302</v>
      </c>
      <c r="I60">
        <f t="shared" si="6"/>
        <v>1.6556291390728477E-4</v>
      </c>
      <c r="J60" t="str">
        <f t="shared" si="5"/>
        <v>yes</v>
      </c>
      <c r="K60">
        <f t="shared" si="7"/>
        <v>3.3112582781456954E-5</v>
      </c>
      <c r="L60" t="str">
        <f t="shared" si="8"/>
        <v>yes!</v>
      </c>
      <c r="N60" t="str">
        <f t="shared" si="9"/>
        <v>minimal effect</v>
      </c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</row>
    <row r="61" spans="1:31">
      <c r="A61" s="18" t="s">
        <v>11</v>
      </c>
      <c r="B61" s="2">
        <v>0.5625</v>
      </c>
      <c r="C61" s="2">
        <v>0.1</v>
      </c>
      <c r="D61" s="2" t="s">
        <v>13</v>
      </c>
      <c r="E61" s="2">
        <v>8.5165332243960598E-2</v>
      </c>
      <c r="F61" s="2">
        <v>2.6872596893778599E-3</v>
      </c>
      <c r="G61" s="2"/>
      <c r="H61" s="2">
        <f t="shared" si="4"/>
        <v>302</v>
      </c>
      <c r="I61">
        <f t="shared" si="6"/>
        <v>1.6556291390728477E-4</v>
      </c>
      <c r="J61" t="str">
        <f t="shared" si="5"/>
        <v>no</v>
      </c>
      <c r="K61">
        <f t="shared" si="7"/>
        <v>3.3112582781456954E-5</v>
      </c>
      <c r="L61" t="str">
        <f t="shared" si="8"/>
        <v/>
      </c>
      <c r="N61" t="str">
        <f t="shared" si="9"/>
        <v>minimal effect</v>
      </c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</row>
    <row r="62" spans="1:31">
      <c r="A62" s="18" t="s">
        <v>11</v>
      </c>
      <c r="B62" s="2">
        <v>0.625</v>
      </c>
      <c r="C62" s="24">
        <v>1E-4</v>
      </c>
      <c r="D62" s="2" t="s">
        <v>13</v>
      </c>
      <c r="E62" s="2">
        <v>0</v>
      </c>
      <c r="F62" s="2">
        <v>0.79850538159399498</v>
      </c>
      <c r="G62" s="2"/>
      <c r="H62" s="2">
        <f t="shared" si="4"/>
        <v>302</v>
      </c>
      <c r="I62">
        <f t="shared" si="6"/>
        <v>1.6556291390728477E-4</v>
      </c>
      <c r="J62" t="str">
        <f t="shared" si="5"/>
        <v>yes</v>
      </c>
      <c r="K62">
        <f t="shared" si="7"/>
        <v>3.3112582781456954E-5</v>
      </c>
      <c r="L62" t="str">
        <f t="shared" si="8"/>
        <v>yes!</v>
      </c>
      <c r="N62" t="str">
        <f t="shared" si="9"/>
        <v>large</v>
      </c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</row>
    <row r="63" spans="1:31">
      <c r="A63" s="18" t="s">
        <v>11</v>
      </c>
      <c r="B63" s="2">
        <v>0.625</v>
      </c>
      <c r="C63" s="25">
        <v>5.0000000000000001E-4</v>
      </c>
      <c r="D63" s="2" t="s">
        <v>13</v>
      </c>
      <c r="E63" s="2">
        <v>0</v>
      </c>
      <c r="F63" s="2">
        <v>-0.46160223585370802</v>
      </c>
      <c r="G63" s="2"/>
      <c r="H63" s="2">
        <f t="shared" si="4"/>
        <v>302</v>
      </c>
      <c r="I63">
        <f t="shared" si="6"/>
        <v>1.6556291390728477E-4</v>
      </c>
      <c r="J63" t="str">
        <f t="shared" si="5"/>
        <v>yes</v>
      </c>
      <c r="K63">
        <f t="shared" si="7"/>
        <v>3.3112582781456954E-5</v>
      </c>
      <c r="L63" t="str">
        <f t="shared" si="8"/>
        <v>yes!</v>
      </c>
      <c r="N63" t="str">
        <f t="shared" si="9"/>
        <v>large</v>
      </c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</row>
    <row r="64" spans="1:31">
      <c r="A64" s="18" t="s">
        <v>11</v>
      </c>
      <c r="B64" s="2">
        <v>0.625</v>
      </c>
      <c r="C64" s="2">
        <v>1E-3</v>
      </c>
      <c r="D64" s="2" t="s">
        <v>13</v>
      </c>
      <c r="E64" s="3">
        <v>1.36724252182553E-69</v>
      </c>
      <c r="F64" s="2">
        <v>-0.23799604261337001</v>
      </c>
      <c r="G64" s="2"/>
      <c r="H64" s="2">
        <f t="shared" si="4"/>
        <v>302</v>
      </c>
      <c r="I64">
        <f t="shared" si="6"/>
        <v>1.6556291390728477E-4</v>
      </c>
      <c r="J64" t="str">
        <f t="shared" si="5"/>
        <v>yes</v>
      </c>
      <c r="K64">
        <f t="shared" si="7"/>
        <v>3.3112582781456954E-5</v>
      </c>
      <c r="L64" t="str">
        <f t="shared" si="8"/>
        <v>yes!</v>
      </c>
      <c r="N64" t="str">
        <f t="shared" si="9"/>
        <v>small</v>
      </c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</row>
    <row r="65" spans="1:31">
      <c r="A65" s="18" t="s">
        <v>11</v>
      </c>
      <c r="B65" s="2">
        <v>0.625</v>
      </c>
      <c r="C65" s="2">
        <v>5.0000000000000001E-3</v>
      </c>
      <c r="D65" s="2" t="s">
        <v>13</v>
      </c>
      <c r="E65" s="3">
        <v>1.2249904235242999E-8</v>
      </c>
      <c r="F65" s="2">
        <v>3.4485751913991801E-2</v>
      </c>
      <c r="G65" s="2"/>
      <c r="H65" s="2">
        <f t="shared" si="4"/>
        <v>302</v>
      </c>
      <c r="I65">
        <f t="shared" si="6"/>
        <v>1.6556291390728477E-4</v>
      </c>
      <c r="J65" t="str">
        <f t="shared" si="5"/>
        <v>yes</v>
      </c>
      <c r="K65">
        <f t="shared" si="7"/>
        <v>3.3112582781456954E-5</v>
      </c>
      <c r="L65" t="str">
        <f t="shared" si="8"/>
        <v>yes!</v>
      </c>
      <c r="N65" t="str">
        <f t="shared" si="9"/>
        <v>minimal effect</v>
      </c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</row>
    <row r="66" spans="1:31">
      <c r="A66" s="18" t="s">
        <v>11</v>
      </c>
      <c r="B66" s="2">
        <v>0.625</v>
      </c>
      <c r="C66" s="2">
        <v>0.01</v>
      </c>
      <c r="D66" s="2" t="s">
        <v>13</v>
      </c>
      <c r="E66" s="3">
        <v>3.3632163063872602E-45</v>
      </c>
      <c r="F66" s="2">
        <v>5.7061358705943199E-2</v>
      </c>
      <c r="G66" s="2"/>
      <c r="H66" s="2">
        <f t="shared" si="4"/>
        <v>302</v>
      </c>
      <c r="I66">
        <f t="shared" ref="I66:I98" si="10">0.05/H66</f>
        <v>1.6556291390728477E-4</v>
      </c>
      <c r="J66" t="str">
        <f t="shared" si="5"/>
        <v>yes</v>
      </c>
      <c r="K66">
        <f t="shared" ref="K66:K98" si="11">0.01/H66</f>
        <v>3.3112582781456954E-5</v>
      </c>
      <c r="L66" t="str">
        <f t="shared" ref="L66:L98" si="12">IF(E66&lt;K66,"yes!","")</f>
        <v>yes!</v>
      </c>
      <c r="N66" t="str">
        <f t="shared" ref="N66:N98" si="13">IF(ABS(F66)&lt;0.11,"minimal effect",IF(ABS(F66)&lt;0.28,"small",IF(ABS(F66)&lt;0.43,"medium","large")))</f>
        <v>minimal effect</v>
      </c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</row>
    <row r="67" spans="1:31">
      <c r="A67" s="18" t="s">
        <v>11</v>
      </c>
      <c r="B67" s="2">
        <v>0.625</v>
      </c>
      <c r="C67" s="2">
        <v>0.05</v>
      </c>
      <c r="D67" s="2" t="s">
        <v>13</v>
      </c>
      <c r="E67" s="3">
        <v>1.8890812268756299E-59</v>
      </c>
      <c r="F67" s="2">
        <v>4.3414721173797598E-2</v>
      </c>
      <c r="G67" s="2"/>
      <c r="H67" s="2">
        <f t="shared" ref="H67:H130" si="14">ROWS(A67:A369)-1</f>
        <v>302</v>
      </c>
      <c r="I67">
        <f t="shared" si="10"/>
        <v>1.6556291390728477E-4</v>
      </c>
      <c r="J67" t="str">
        <f t="shared" ref="J67:J114" si="15">IF(E67&lt;I67,"yes","no")</f>
        <v>yes</v>
      </c>
      <c r="K67">
        <f t="shared" si="11"/>
        <v>3.3112582781456954E-5</v>
      </c>
      <c r="L67" t="str">
        <f t="shared" si="12"/>
        <v>yes!</v>
      </c>
      <c r="N67" t="str">
        <f t="shared" si="13"/>
        <v>minimal effect</v>
      </c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</row>
    <row r="68" spans="1:31">
      <c r="A68" s="18" t="s">
        <v>11</v>
      </c>
      <c r="B68" s="2">
        <v>0.625</v>
      </c>
      <c r="C68" s="2">
        <v>0.1</v>
      </c>
      <c r="D68" s="2" t="s">
        <v>13</v>
      </c>
      <c r="E68" s="3">
        <v>2.16836162358548E-44</v>
      </c>
      <c r="F68" s="2">
        <v>3.3988514096961103E-2</v>
      </c>
      <c r="G68" s="2"/>
      <c r="H68" s="2">
        <f t="shared" si="14"/>
        <v>302</v>
      </c>
      <c r="I68">
        <f t="shared" si="10"/>
        <v>1.6556291390728477E-4</v>
      </c>
      <c r="J68" t="str">
        <f t="shared" si="15"/>
        <v>yes</v>
      </c>
      <c r="K68">
        <f t="shared" si="11"/>
        <v>3.3112582781456954E-5</v>
      </c>
      <c r="L68" t="str">
        <f t="shared" si="12"/>
        <v>yes!</v>
      </c>
      <c r="N68" t="str">
        <f t="shared" si="13"/>
        <v>minimal effect</v>
      </c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</row>
    <row r="69" spans="1:31">
      <c r="A69" s="13" t="s">
        <v>6</v>
      </c>
      <c r="B69" s="4">
        <v>0.125</v>
      </c>
      <c r="C69" s="4">
        <v>1E-4</v>
      </c>
      <c r="D69" s="4" t="s">
        <v>13</v>
      </c>
      <c r="E69" s="4">
        <v>0</v>
      </c>
      <c r="F69" s="4">
        <v>-0.167845795752464</v>
      </c>
      <c r="G69" s="4"/>
      <c r="H69" s="4">
        <f t="shared" si="14"/>
        <v>302</v>
      </c>
      <c r="I69" s="6">
        <f t="shared" si="10"/>
        <v>1.6556291390728477E-4</v>
      </c>
      <c r="J69" s="6" t="str">
        <f t="shared" si="15"/>
        <v>yes</v>
      </c>
      <c r="K69" s="6">
        <f t="shared" si="11"/>
        <v>3.3112582781456954E-5</v>
      </c>
      <c r="L69" s="6" t="str">
        <f t="shared" si="12"/>
        <v>yes!</v>
      </c>
      <c r="M69" s="6"/>
      <c r="N69" s="6" t="str">
        <f t="shared" si="13"/>
        <v>small</v>
      </c>
      <c r="O69" s="6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</row>
    <row r="70" spans="1:31">
      <c r="A70" s="17" t="s">
        <v>6</v>
      </c>
      <c r="B70" s="2">
        <v>0.1875</v>
      </c>
      <c r="C70" s="2">
        <v>1E-4</v>
      </c>
      <c r="D70" s="2" t="s">
        <v>13</v>
      </c>
      <c r="E70" s="2">
        <v>0</v>
      </c>
      <c r="F70" s="2">
        <v>-0.45615204266088999</v>
      </c>
      <c r="G70" s="2"/>
      <c r="H70" s="2">
        <f t="shared" si="14"/>
        <v>302</v>
      </c>
      <c r="I70">
        <f t="shared" si="10"/>
        <v>1.6556291390728477E-4</v>
      </c>
      <c r="J70" t="str">
        <f t="shared" si="15"/>
        <v>yes</v>
      </c>
      <c r="K70">
        <f t="shared" si="11"/>
        <v>3.3112582781456954E-5</v>
      </c>
      <c r="L70" t="str">
        <f t="shared" si="12"/>
        <v>yes!</v>
      </c>
      <c r="N70" t="str">
        <f t="shared" si="13"/>
        <v>large</v>
      </c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</row>
    <row r="71" spans="1:31">
      <c r="A71" s="17" t="s">
        <v>6</v>
      </c>
      <c r="B71" s="2">
        <v>0.1875</v>
      </c>
      <c r="C71" s="2">
        <v>5.0000000000000001E-4</v>
      </c>
      <c r="D71" s="2" t="s">
        <v>13</v>
      </c>
      <c r="E71" s="3">
        <v>2.0141382659751499E-135</v>
      </c>
      <c r="F71" s="2">
        <v>-0.58907156359513702</v>
      </c>
      <c r="G71" s="2"/>
      <c r="H71" s="2">
        <f t="shared" si="14"/>
        <v>302</v>
      </c>
      <c r="I71">
        <f t="shared" si="10"/>
        <v>1.6556291390728477E-4</v>
      </c>
      <c r="J71" t="str">
        <f t="shared" si="15"/>
        <v>yes</v>
      </c>
      <c r="K71">
        <f t="shared" si="11"/>
        <v>3.3112582781456954E-5</v>
      </c>
      <c r="L71" t="str">
        <f t="shared" si="12"/>
        <v>yes!</v>
      </c>
      <c r="N71" t="str">
        <f t="shared" si="13"/>
        <v>large</v>
      </c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</row>
    <row r="72" spans="1:31">
      <c r="A72" s="17" t="s">
        <v>6</v>
      </c>
      <c r="B72" s="2">
        <v>0.25</v>
      </c>
      <c r="C72" s="2">
        <v>1E-4</v>
      </c>
      <c r="D72" s="2" t="s">
        <v>13</v>
      </c>
      <c r="E72" s="2">
        <v>0</v>
      </c>
      <c r="F72" s="2">
        <v>-0.46816242249810602</v>
      </c>
      <c r="G72" s="2"/>
      <c r="H72" s="2">
        <f t="shared" si="14"/>
        <v>302</v>
      </c>
      <c r="I72">
        <f t="shared" si="10"/>
        <v>1.6556291390728477E-4</v>
      </c>
      <c r="J72" t="str">
        <f t="shared" si="15"/>
        <v>yes</v>
      </c>
      <c r="K72">
        <f t="shared" si="11"/>
        <v>3.3112582781456954E-5</v>
      </c>
      <c r="L72" t="str">
        <f t="shared" si="12"/>
        <v>yes!</v>
      </c>
      <c r="N72" t="str">
        <f t="shared" si="13"/>
        <v>large</v>
      </c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</row>
    <row r="73" spans="1:31">
      <c r="A73" s="17"/>
      <c r="B73" s="2"/>
      <c r="C73" s="2"/>
      <c r="D73" s="2"/>
      <c r="E73" s="2"/>
      <c r="F73" s="2"/>
      <c r="G73" s="2"/>
      <c r="H73" s="2">
        <f t="shared" si="14"/>
        <v>302</v>
      </c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</row>
    <row r="74" spans="1:31">
      <c r="A74" s="17" t="s">
        <v>6</v>
      </c>
      <c r="B74" s="2">
        <v>0.3125</v>
      </c>
      <c r="C74" s="2">
        <v>1E-4</v>
      </c>
      <c r="D74" s="2" t="s">
        <v>13</v>
      </c>
      <c r="E74" s="2">
        <v>0</v>
      </c>
      <c r="F74" s="2">
        <v>-0.59913971447703895</v>
      </c>
      <c r="G74" s="2"/>
      <c r="H74" s="2">
        <f t="shared" si="14"/>
        <v>302</v>
      </c>
      <c r="I74">
        <f t="shared" si="10"/>
        <v>1.6556291390728477E-4</v>
      </c>
      <c r="J74" t="str">
        <f t="shared" si="15"/>
        <v>yes</v>
      </c>
      <c r="K74">
        <f t="shared" si="11"/>
        <v>3.3112582781456954E-5</v>
      </c>
      <c r="L74" t="str">
        <f t="shared" si="12"/>
        <v>yes!</v>
      </c>
      <c r="N74" t="str">
        <f t="shared" si="13"/>
        <v>large</v>
      </c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</row>
    <row r="75" spans="1:31">
      <c r="A75" s="17" t="s">
        <v>6</v>
      </c>
      <c r="B75" s="2">
        <v>0.375</v>
      </c>
      <c r="C75" s="2">
        <v>1E-4</v>
      </c>
      <c r="D75" s="2" t="s">
        <v>13</v>
      </c>
      <c r="E75" s="2">
        <v>0</v>
      </c>
      <c r="F75" s="2">
        <v>-0.64051434819433695</v>
      </c>
      <c r="G75" s="2"/>
      <c r="H75" s="2">
        <f t="shared" si="14"/>
        <v>302</v>
      </c>
      <c r="I75">
        <f t="shared" si="10"/>
        <v>1.6556291390728477E-4</v>
      </c>
      <c r="J75" t="str">
        <f t="shared" si="15"/>
        <v>yes</v>
      </c>
      <c r="K75">
        <f t="shared" si="11"/>
        <v>3.3112582781456954E-5</v>
      </c>
      <c r="L75" t="str">
        <f t="shared" si="12"/>
        <v>yes!</v>
      </c>
      <c r="N75" t="str">
        <f t="shared" si="13"/>
        <v>large</v>
      </c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</row>
    <row r="76" spans="1:31">
      <c r="A76" s="17" t="s">
        <v>6</v>
      </c>
      <c r="B76" s="2">
        <v>0.375</v>
      </c>
      <c r="C76" s="2">
        <v>5.0000000000000001E-4</v>
      </c>
      <c r="D76" s="2" t="s">
        <v>13</v>
      </c>
      <c r="E76" s="3">
        <v>1.0164751295511701E-156</v>
      </c>
      <c r="F76" s="2">
        <v>-0.64777004985847697</v>
      </c>
      <c r="G76" s="2"/>
      <c r="H76" s="2">
        <f t="shared" si="14"/>
        <v>302</v>
      </c>
      <c r="I76">
        <f t="shared" si="10"/>
        <v>1.6556291390728477E-4</v>
      </c>
      <c r="J76" t="str">
        <f t="shared" si="15"/>
        <v>yes</v>
      </c>
      <c r="K76">
        <f t="shared" si="11"/>
        <v>3.3112582781456954E-5</v>
      </c>
      <c r="L76" t="str">
        <f t="shared" si="12"/>
        <v>yes!</v>
      </c>
      <c r="N76" t="str">
        <f t="shared" si="13"/>
        <v>large</v>
      </c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</row>
    <row r="77" spans="1:31">
      <c r="A77" s="17" t="s">
        <v>6</v>
      </c>
      <c r="B77" s="2">
        <v>0.375</v>
      </c>
      <c r="C77" s="2">
        <v>5.0000000000000001E-3</v>
      </c>
      <c r="D77" s="2" t="s">
        <v>13</v>
      </c>
      <c r="E77" s="2">
        <v>0</v>
      </c>
      <c r="F77" s="2">
        <v>-0.94535516790361296</v>
      </c>
      <c r="G77" s="2"/>
      <c r="H77" s="2">
        <f t="shared" si="14"/>
        <v>302</v>
      </c>
      <c r="I77">
        <f t="shared" si="10"/>
        <v>1.6556291390728477E-4</v>
      </c>
      <c r="J77" t="str">
        <f t="shared" si="15"/>
        <v>yes</v>
      </c>
      <c r="K77">
        <f t="shared" si="11"/>
        <v>3.3112582781456954E-5</v>
      </c>
      <c r="L77" t="str">
        <f t="shared" si="12"/>
        <v>yes!</v>
      </c>
      <c r="N77" t="str">
        <f t="shared" si="13"/>
        <v>large</v>
      </c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</row>
    <row r="78" spans="1:31">
      <c r="A78" s="17" t="s">
        <v>6</v>
      </c>
      <c r="B78" s="2">
        <v>0.4375</v>
      </c>
      <c r="C78" s="2">
        <v>1E-4</v>
      </c>
      <c r="D78" s="2" t="s">
        <v>13</v>
      </c>
      <c r="E78" s="2">
        <v>0</v>
      </c>
      <c r="F78" s="2">
        <v>-0.59813642269763501</v>
      </c>
      <c r="G78" s="2"/>
      <c r="H78" s="2">
        <f t="shared" si="14"/>
        <v>302</v>
      </c>
      <c r="I78">
        <f t="shared" si="10"/>
        <v>1.6556291390728477E-4</v>
      </c>
      <c r="J78" t="str">
        <f t="shared" si="15"/>
        <v>yes</v>
      </c>
      <c r="K78">
        <f t="shared" si="11"/>
        <v>3.3112582781456954E-5</v>
      </c>
      <c r="L78" t="str">
        <f t="shared" si="12"/>
        <v>yes!</v>
      </c>
      <c r="N78" t="str">
        <f t="shared" si="13"/>
        <v>large</v>
      </c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</row>
    <row r="79" spans="1:31">
      <c r="A79" s="17" t="s">
        <v>6</v>
      </c>
      <c r="B79" s="2">
        <v>0.4375</v>
      </c>
      <c r="C79" s="2">
        <v>5.0000000000000001E-4</v>
      </c>
      <c r="D79" s="2" t="s">
        <v>13</v>
      </c>
      <c r="E79" s="3">
        <v>1.31993273458969E-300</v>
      </c>
      <c r="F79" s="2">
        <v>-0.62235530782006698</v>
      </c>
      <c r="G79" s="2"/>
      <c r="H79" s="2">
        <f t="shared" si="14"/>
        <v>302</v>
      </c>
      <c r="I79">
        <f t="shared" si="10"/>
        <v>1.6556291390728477E-4</v>
      </c>
      <c r="J79" t="str">
        <f t="shared" si="15"/>
        <v>yes</v>
      </c>
      <c r="K79">
        <f t="shared" si="11"/>
        <v>3.3112582781456954E-5</v>
      </c>
      <c r="L79" t="str">
        <f t="shared" si="12"/>
        <v>yes!</v>
      </c>
      <c r="N79" t="str">
        <f t="shared" si="13"/>
        <v>large</v>
      </c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</row>
    <row r="80" spans="1:31">
      <c r="A80" s="17" t="s">
        <v>6</v>
      </c>
      <c r="B80" s="2">
        <v>0.4375</v>
      </c>
      <c r="C80" s="2">
        <v>5.0000000000000001E-3</v>
      </c>
      <c r="D80" s="2" t="s">
        <v>13</v>
      </c>
      <c r="E80" s="2">
        <v>0</v>
      </c>
      <c r="F80" s="2">
        <v>-0.90082838141920796</v>
      </c>
      <c r="G80" s="2"/>
      <c r="H80" s="2">
        <f t="shared" si="14"/>
        <v>302</v>
      </c>
      <c r="I80">
        <f t="shared" si="10"/>
        <v>1.6556291390728477E-4</v>
      </c>
      <c r="J80" t="str">
        <f t="shared" si="15"/>
        <v>yes</v>
      </c>
      <c r="K80">
        <f t="shared" si="11"/>
        <v>3.3112582781456954E-5</v>
      </c>
      <c r="L80" t="str">
        <f t="shared" si="12"/>
        <v>yes!</v>
      </c>
      <c r="N80" t="str">
        <f t="shared" si="13"/>
        <v>large</v>
      </c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</row>
    <row r="81" spans="1:31">
      <c r="A81" s="17" t="s">
        <v>6</v>
      </c>
      <c r="B81" s="2">
        <v>0.4375</v>
      </c>
      <c r="C81" s="2">
        <v>0.01</v>
      </c>
      <c r="D81" s="2" t="s">
        <v>13</v>
      </c>
      <c r="E81" s="2">
        <v>0</v>
      </c>
      <c r="F81" s="2">
        <v>-0.78931702041131502</v>
      </c>
      <c r="G81" s="2"/>
      <c r="H81" s="2">
        <f t="shared" si="14"/>
        <v>302</v>
      </c>
      <c r="I81">
        <f t="shared" si="10"/>
        <v>1.6556291390728477E-4</v>
      </c>
      <c r="J81" t="str">
        <f t="shared" si="15"/>
        <v>yes</v>
      </c>
      <c r="K81">
        <f t="shared" si="11"/>
        <v>3.3112582781456954E-5</v>
      </c>
      <c r="L81" t="str">
        <f t="shared" si="12"/>
        <v>yes!</v>
      </c>
      <c r="N81" t="str">
        <f t="shared" si="13"/>
        <v>large</v>
      </c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</row>
    <row r="82" spans="1:31">
      <c r="A82" s="17" t="s">
        <v>6</v>
      </c>
      <c r="B82" s="2">
        <v>0.5</v>
      </c>
      <c r="C82" s="2">
        <v>1E-4</v>
      </c>
      <c r="D82" s="2" t="s">
        <v>13</v>
      </c>
      <c r="E82" s="2">
        <v>0</v>
      </c>
      <c r="F82" s="2">
        <v>-0.68676845999873803</v>
      </c>
      <c r="G82" s="2"/>
      <c r="H82" s="2">
        <f t="shared" si="14"/>
        <v>302</v>
      </c>
      <c r="I82">
        <f t="shared" si="10"/>
        <v>1.6556291390728477E-4</v>
      </c>
      <c r="J82" t="str">
        <f t="shared" si="15"/>
        <v>yes</v>
      </c>
      <c r="K82">
        <f t="shared" si="11"/>
        <v>3.3112582781456954E-5</v>
      </c>
      <c r="L82" t="str">
        <f t="shared" si="12"/>
        <v>yes!</v>
      </c>
      <c r="N82" t="str">
        <f t="shared" si="13"/>
        <v>large</v>
      </c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</row>
    <row r="83" spans="1:31">
      <c r="A83" s="17" t="s">
        <v>6</v>
      </c>
      <c r="B83" s="2">
        <v>0.5</v>
      </c>
      <c r="C83" s="2">
        <v>5.0000000000000001E-4</v>
      </c>
      <c r="D83" s="2" t="s">
        <v>13</v>
      </c>
      <c r="E83" s="3">
        <v>2.6689745963070199E-232</v>
      </c>
      <c r="F83" s="2">
        <v>-0.58357912526250899</v>
      </c>
      <c r="G83" s="2"/>
      <c r="H83" s="2">
        <f t="shared" si="14"/>
        <v>302</v>
      </c>
      <c r="I83">
        <f t="shared" si="10"/>
        <v>1.6556291390728477E-4</v>
      </c>
      <c r="J83" t="str">
        <f t="shared" si="15"/>
        <v>yes</v>
      </c>
      <c r="K83">
        <f t="shared" si="11"/>
        <v>3.3112582781456954E-5</v>
      </c>
      <c r="L83" t="str">
        <f t="shared" si="12"/>
        <v>yes!</v>
      </c>
      <c r="N83" t="str">
        <f t="shared" si="13"/>
        <v>large</v>
      </c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</row>
    <row r="84" spans="1:31">
      <c r="A84" s="17" t="s">
        <v>6</v>
      </c>
      <c r="B84" s="2">
        <v>0.5</v>
      </c>
      <c r="C84" s="2">
        <v>0.05</v>
      </c>
      <c r="D84" s="2" t="s">
        <v>13</v>
      </c>
      <c r="E84" s="2">
        <v>0</v>
      </c>
      <c r="F84" s="2">
        <v>-0.355744982736728</v>
      </c>
      <c r="G84" s="2"/>
      <c r="H84" s="2">
        <f t="shared" si="14"/>
        <v>302</v>
      </c>
      <c r="I84">
        <f t="shared" si="10"/>
        <v>1.6556291390728477E-4</v>
      </c>
      <c r="J84" t="str">
        <f t="shared" si="15"/>
        <v>yes</v>
      </c>
      <c r="K84">
        <f t="shared" si="11"/>
        <v>3.3112582781456954E-5</v>
      </c>
      <c r="L84" t="str">
        <f t="shared" si="12"/>
        <v>yes!</v>
      </c>
      <c r="N84" t="str">
        <f t="shared" si="13"/>
        <v>medium</v>
      </c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</row>
    <row r="85" spans="1:31">
      <c r="A85" s="17" t="s">
        <v>6</v>
      </c>
      <c r="B85" s="2">
        <v>0.5625</v>
      </c>
      <c r="C85" s="2">
        <v>1E-4</v>
      </c>
      <c r="D85" s="2" t="s">
        <v>13</v>
      </c>
      <c r="E85" s="2">
        <v>0</v>
      </c>
      <c r="F85" s="2">
        <v>-0.64258872885548701</v>
      </c>
      <c r="G85" s="2"/>
      <c r="H85" s="2">
        <f t="shared" si="14"/>
        <v>302</v>
      </c>
      <c r="I85">
        <f t="shared" si="10"/>
        <v>1.6556291390728477E-4</v>
      </c>
      <c r="J85" t="str">
        <f t="shared" si="15"/>
        <v>yes</v>
      </c>
      <c r="K85">
        <f t="shared" si="11"/>
        <v>3.3112582781456954E-5</v>
      </c>
      <c r="L85" t="str">
        <f t="shared" si="12"/>
        <v>yes!</v>
      </c>
      <c r="N85" t="str">
        <f t="shared" si="13"/>
        <v>large</v>
      </c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</row>
    <row r="86" spans="1:31">
      <c r="A86" s="17" t="s">
        <v>6</v>
      </c>
      <c r="B86" s="2">
        <v>0.5625</v>
      </c>
      <c r="C86" s="2">
        <v>5.0000000000000001E-4</v>
      </c>
      <c r="D86" s="2" t="s">
        <v>13</v>
      </c>
      <c r="E86" s="2">
        <v>0</v>
      </c>
      <c r="F86" s="2">
        <v>-0.64796407442160597</v>
      </c>
      <c r="G86" s="2"/>
      <c r="H86" s="2">
        <f t="shared" si="14"/>
        <v>302</v>
      </c>
      <c r="I86">
        <f t="shared" si="10"/>
        <v>1.6556291390728477E-4</v>
      </c>
      <c r="J86" t="str">
        <f t="shared" si="15"/>
        <v>yes</v>
      </c>
      <c r="K86">
        <f t="shared" si="11"/>
        <v>3.3112582781456954E-5</v>
      </c>
      <c r="L86" t="str">
        <f t="shared" si="12"/>
        <v>yes!</v>
      </c>
      <c r="N86" t="str">
        <f t="shared" si="13"/>
        <v>large</v>
      </c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</row>
    <row r="87" spans="1:31">
      <c r="A87" s="17" t="s">
        <v>6</v>
      </c>
      <c r="B87" s="2">
        <v>0.5625</v>
      </c>
      <c r="C87" s="2">
        <v>0.01</v>
      </c>
      <c r="D87" s="2" t="s">
        <v>13</v>
      </c>
      <c r="E87" s="2">
        <v>0</v>
      </c>
      <c r="F87" s="2">
        <v>-0.66781776289624595</v>
      </c>
      <c r="G87" s="2"/>
      <c r="H87" s="2">
        <f t="shared" si="14"/>
        <v>302</v>
      </c>
      <c r="I87">
        <f t="shared" si="10"/>
        <v>1.6556291390728477E-4</v>
      </c>
      <c r="J87" t="str">
        <f t="shared" si="15"/>
        <v>yes</v>
      </c>
      <c r="K87">
        <f t="shared" si="11"/>
        <v>3.3112582781456954E-5</v>
      </c>
      <c r="L87" t="str">
        <f t="shared" si="12"/>
        <v>yes!</v>
      </c>
      <c r="N87" t="str">
        <f t="shared" si="13"/>
        <v>large</v>
      </c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</row>
    <row r="88" spans="1:31">
      <c r="A88" s="17" t="s">
        <v>6</v>
      </c>
      <c r="B88" s="2">
        <v>0.5625</v>
      </c>
      <c r="C88" s="2">
        <v>0.05</v>
      </c>
      <c r="D88" s="2" t="s">
        <v>13</v>
      </c>
      <c r="E88" s="2">
        <v>0</v>
      </c>
      <c r="F88" s="2">
        <v>-0.31737469645128302</v>
      </c>
      <c r="G88" s="2"/>
      <c r="H88" s="2">
        <f t="shared" si="14"/>
        <v>302</v>
      </c>
      <c r="I88">
        <f t="shared" si="10"/>
        <v>1.6556291390728477E-4</v>
      </c>
      <c r="J88" t="str">
        <f t="shared" si="15"/>
        <v>yes</v>
      </c>
      <c r="K88">
        <f t="shared" si="11"/>
        <v>3.3112582781456954E-5</v>
      </c>
      <c r="L88" t="str">
        <f t="shared" si="12"/>
        <v>yes!</v>
      </c>
      <c r="N88" t="str">
        <f t="shared" si="13"/>
        <v>medium</v>
      </c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</row>
    <row r="89" spans="1:31">
      <c r="A89" s="17" t="s">
        <v>6</v>
      </c>
      <c r="B89" s="2">
        <v>0.5625</v>
      </c>
      <c r="C89" s="2">
        <v>0.1</v>
      </c>
      <c r="D89" s="2" t="s">
        <v>13</v>
      </c>
      <c r="E89" s="3">
        <v>1.13374139008737E-255</v>
      </c>
      <c r="F89" s="2">
        <v>-0.14649100046647701</v>
      </c>
      <c r="G89" s="2"/>
      <c r="H89" s="2">
        <f t="shared" si="14"/>
        <v>302</v>
      </c>
      <c r="I89">
        <f t="shared" si="10"/>
        <v>1.6556291390728477E-4</v>
      </c>
      <c r="J89" t="str">
        <f t="shared" si="15"/>
        <v>yes</v>
      </c>
      <c r="K89">
        <f t="shared" si="11"/>
        <v>3.3112582781456954E-5</v>
      </c>
      <c r="L89" t="str">
        <f t="shared" si="12"/>
        <v>yes!</v>
      </c>
      <c r="N89" t="str">
        <f t="shared" si="13"/>
        <v>small</v>
      </c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</row>
    <row r="90" spans="1:31">
      <c r="A90" s="17" t="s">
        <v>6</v>
      </c>
      <c r="B90" s="2">
        <v>0.625</v>
      </c>
      <c r="C90" s="2">
        <v>1E-4</v>
      </c>
      <c r="D90" s="2" t="s">
        <v>13</v>
      </c>
      <c r="E90" s="2">
        <v>0</v>
      </c>
      <c r="F90" s="2">
        <v>-0.64457268109643295</v>
      </c>
      <c r="G90" s="2"/>
      <c r="H90" s="2">
        <f t="shared" si="14"/>
        <v>302</v>
      </c>
      <c r="I90">
        <f t="shared" si="10"/>
        <v>1.6556291390728477E-4</v>
      </c>
      <c r="J90" t="str">
        <f t="shared" si="15"/>
        <v>yes</v>
      </c>
      <c r="K90">
        <f t="shared" si="11"/>
        <v>3.3112582781456954E-5</v>
      </c>
      <c r="L90" t="str">
        <f t="shared" si="12"/>
        <v>yes!</v>
      </c>
      <c r="N90" t="str">
        <f t="shared" si="13"/>
        <v>large</v>
      </c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</row>
    <row r="91" spans="1:31">
      <c r="A91" s="17" t="s">
        <v>6</v>
      </c>
      <c r="B91" s="2">
        <v>0.625</v>
      </c>
      <c r="C91" s="2">
        <v>5.0000000000000001E-4</v>
      </c>
      <c r="D91" s="2" t="s">
        <v>13</v>
      </c>
      <c r="E91" s="2">
        <v>0</v>
      </c>
      <c r="F91" s="2">
        <v>-0.70462470474008299</v>
      </c>
      <c r="G91" s="2"/>
      <c r="H91" s="2">
        <f t="shared" si="14"/>
        <v>302</v>
      </c>
      <c r="I91">
        <f t="shared" si="10"/>
        <v>1.6556291390728477E-4</v>
      </c>
      <c r="J91" t="str">
        <f t="shared" si="15"/>
        <v>yes</v>
      </c>
      <c r="K91">
        <f t="shared" si="11"/>
        <v>3.3112582781456954E-5</v>
      </c>
      <c r="L91" t="str">
        <f t="shared" si="12"/>
        <v>yes!</v>
      </c>
      <c r="N91" t="str">
        <f t="shared" si="13"/>
        <v>large</v>
      </c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</row>
    <row r="92" spans="1:31">
      <c r="A92" s="17" t="s">
        <v>6</v>
      </c>
      <c r="B92" s="2">
        <v>0.625</v>
      </c>
      <c r="C92" s="2">
        <v>1E-3</v>
      </c>
      <c r="D92" s="2" t="s">
        <v>13</v>
      </c>
      <c r="E92" s="2">
        <v>0</v>
      </c>
      <c r="F92" s="2">
        <v>-0.75511906880960999</v>
      </c>
      <c r="G92" s="2"/>
      <c r="H92" s="2">
        <f t="shared" si="14"/>
        <v>302</v>
      </c>
      <c r="I92">
        <f t="shared" si="10"/>
        <v>1.6556291390728477E-4</v>
      </c>
      <c r="J92" t="str">
        <f t="shared" si="15"/>
        <v>yes</v>
      </c>
      <c r="K92">
        <f t="shared" si="11"/>
        <v>3.3112582781456954E-5</v>
      </c>
      <c r="L92" t="str">
        <f t="shared" si="12"/>
        <v>yes!</v>
      </c>
      <c r="N92" t="str">
        <f t="shared" si="13"/>
        <v>large</v>
      </c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</row>
    <row r="93" spans="1:31">
      <c r="A93" s="17" t="s">
        <v>6</v>
      </c>
      <c r="B93" s="2">
        <v>0.625</v>
      </c>
      <c r="C93" s="2">
        <v>5.0000000000000001E-3</v>
      </c>
      <c r="D93" s="2" t="s">
        <v>13</v>
      </c>
      <c r="E93" s="2">
        <v>0</v>
      </c>
      <c r="F93" s="2">
        <v>-0.67148569326013297</v>
      </c>
      <c r="G93" s="2"/>
      <c r="H93" s="2">
        <f t="shared" si="14"/>
        <v>302</v>
      </c>
      <c r="I93">
        <f t="shared" si="10"/>
        <v>1.6556291390728477E-4</v>
      </c>
      <c r="J93" t="str">
        <f t="shared" si="15"/>
        <v>yes</v>
      </c>
      <c r="K93">
        <f t="shared" si="11"/>
        <v>3.3112582781456954E-5</v>
      </c>
      <c r="L93" t="str">
        <f t="shared" si="12"/>
        <v>yes!</v>
      </c>
      <c r="N93" t="str">
        <f t="shared" si="13"/>
        <v>large</v>
      </c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</row>
    <row r="94" spans="1:31">
      <c r="A94" s="17" t="s">
        <v>6</v>
      </c>
      <c r="B94" s="2">
        <v>0.625</v>
      </c>
      <c r="C94" s="2">
        <v>0.01</v>
      </c>
      <c r="D94" s="2" t="s">
        <v>13</v>
      </c>
      <c r="E94" s="2">
        <v>0</v>
      </c>
      <c r="F94" s="2">
        <v>-0.56700814429032198</v>
      </c>
      <c r="G94" s="2"/>
      <c r="H94" s="2">
        <f t="shared" si="14"/>
        <v>302</v>
      </c>
      <c r="I94">
        <f t="shared" si="10"/>
        <v>1.6556291390728477E-4</v>
      </c>
      <c r="J94" t="str">
        <f t="shared" si="15"/>
        <v>yes</v>
      </c>
      <c r="K94">
        <f t="shared" si="11"/>
        <v>3.3112582781456954E-5</v>
      </c>
      <c r="L94" t="str">
        <f t="shared" si="12"/>
        <v>yes!</v>
      </c>
      <c r="N94" t="str">
        <f t="shared" si="13"/>
        <v>large</v>
      </c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</row>
    <row r="95" spans="1:31">
      <c r="A95" s="17" t="s">
        <v>6</v>
      </c>
      <c r="B95" s="2">
        <v>0.625</v>
      </c>
      <c r="C95" s="2">
        <v>0.05</v>
      </c>
      <c r="D95" s="2" t="s">
        <v>13</v>
      </c>
      <c r="E95" s="2">
        <v>0</v>
      </c>
      <c r="F95" s="2">
        <v>-0.24748284943318799</v>
      </c>
      <c r="G95" s="2"/>
      <c r="H95" s="2">
        <f t="shared" si="14"/>
        <v>302</v>
      </c>
      <c r="I95">
        <f t="shared" si="10"/>
        <v>1.6556291390728477E-4</v>
      </c>
      <c r="J95" t="str">
        <f t="shared" si="15"/>
        <v>yes</v>
      </c>
      <c r="K95">
        <f t="shared" si="11"/>
        <v>3.3112582781456954E-5</v>
      </c>
      <c r="L95" t="str">
        <f t="shared" si="12"/>
        <v>yes!</v>
      </c>
      <c r="N95" t="str">
        <f t="shared" si="13"/>
        <v>small</v>
      </c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</row>
    <row r="96" spans="1:31">
      <c r="A96" s="17" t="s">
        <v>6</v>
      </c>
      <c r="B96" s="2">
        <v>0.625</v>
      </c>
      <c r="C96" s="2">
        <v>0.1</v>
      </c>
      <c r="D96" s="2" t="s">
        <v>13</v>
      </c>
      <c r="E96" s="2">
        <v>0</v>
      </c>
      <c r="F96" s="2">
        <v>-0.133665244542018</v>
      </c>
      <c r="G96" s="2"/>
      <c r="H96" s="2">
        <f t="shared" si="14"/>
        <v>302</v>
      </c>
      <c r="I96">
        <f t="shared" si="10"/>
        <v>1.6556291390728477E-4</v>
      </c>
      <c r="J96" t="str">
        <f t="shared" si="15"/>
        <v>yes</v>
      </c>
      <c r="K96">
        <f t="shared" si="11"/>
        <v>3.3112582781456954E-5</v>
      </c>
      <c r="L96" t="str">
        <f t="shared" si="12"/>
        <v>yes!</v>
      </c>
      <c r="N96" t="str">
        <f t="shared" si="13"/>
        <v>small</v>
      </c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</row>
    <row r="97" spans="1:34">
      <c r="A97" s="20" t="s">
        <v>0</v>
      </c>
      <c r="B97" s="4">
        <v>0.3125</v>
      </c>
      <c r="C97" s="4">
        <v>1E-4</v>
      </c>
      <c r="D97" s="4" t="s">
        <v>13</v>
      </c>
      <c r="E97" s="14">
        <v>0</v>
      </c>
      <c r="F97" s="4">
        <v>-0.96836754000000003</v>
      </c>
      <c r="G97" s="4"/>
      <c r="H97" s="4">
        <f t="shared" si="14"/>
        <v>302</v>
      </c>
      <c r="I97" s="6">
        <f t="shared" si="10"/>
        <v>1.6556291390728477E-4</v>
      </c>
      <c r="J97" s="6" t="str">
        <f t="shared" si="15"/>
        <v>yes</v>
      </c>
      <c r="K97" s="6">
        <f t="shared" si="11"/>
        <v>3.3112582781456954E-5</v>
      </c>
      <c r="L97" s="6" t="str">
        <f t="shared" si="12"/>
        <v>yes!</v>
      </c>
      <c r="M97" s="6"/>
      <c r="N97" s="6" t="str">
        <f t="shared" si="13"/>
        <v>large</v>
      </c>
      <c r="O97" s="6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</row>
    <row r="98" spans="1:34">
      <c r="A98" s="19" t="s">
        <v>0</v>
      </c>
      <c r="B98" s="2">
        <v>0.375</v>
      </c>
      <c r="C98" s="2">
        <v>1E-4</v>
      </c>
      <c r="D98" s="2" t="s">
        <v>13</v>
      </c>
      <c r="E98" s="3">
        <v>0</v>
      </c>
      <c r="F98" s="2">
        <v>-0.69364820000000005</v>
      </c>
      <c r="G98" s="2"/>
      <c r="H98" s="2">
        <f t="shared" si="14"/>
        <v>302</v>
      </c>
      <c r="I98">
        <f t="shared" si="10"/>
        <v>1.6556291390728477E-4</v>
      </c>
      <c r="J98" t="str">
        <f t="shared" si="15"/>
        <v>yes</v>
      </c>
      <c r="K98">
        <f t="shared" si="11"/>
        <v>3.3112582781456954E-5</v>
      </c>
      <c r="L98" t="str">
        <f t="shared" si="12"/>
        <v>yes!</v>
      </c>
      <c r="N98" t="str">
        <f t="shared" si="13"/>
        <v>large</v>
      </c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</row>
    <row r="99" spans="1:34">
      <c r="A99" s="19" t="s">
        <v>0</v>
      </c>
      <c r="B99" s="2">
        <v>0.375</v>
      </c>
      <c r="C99" s="2">
        <v>5.0000000000000001E-4</v>
      </c>
      <c r="D99" s="2" t="s">
        <v>13</v>
      </c>
      <c r="E99" s="3">
        <v>0</v>
      </c>
      <c r="F99" s="2">
        <v>-0.99787682</v>
      </c>
      <c r="G99" s="2"/>
      <c r="H99" s="2">
        <f t="shared" si="14"/>
        <v>302</v>
      </c>
      <c r="I99">
        <f t="shared" ref="I99:I180" si="16">0.05/H99</f>
        <v>1.6556291390728477E-4</v>
      </c>
      <c r="J99" t="str">
        <f t="shared" si="15"/>
        <v>yes</v>
      </c>
      <c r="K99">
        <f t="shared" ref="K99:K114" si="17">0.01/H99</f>
        <v>3.3112582781456954E-5</v>
      </c>
      <c r="L99" t="str">
        <f t="shared" ref="L99:L114" si="18">IF(E99&lt;K99,"yes!","")</f>
        <v>yes!</v>
      </c>
      <c r="N99" t="str">
        <f t="shared" ref="N99:N114" si="19">IF(ABS(F99)&lt;0.11,"minimal effect",IF(ABS(F99)&lt;0.28,"small",IF(ABS(F99)&lt;0.43,"medium","large")))</f>
        <v>large</v>
      </c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</row>
    <row r="100" spans="1:34">
      <c r="A100" s="19" t="s">
        <v>0</v>
      </c>
      <c r="B100" s="2">
        <v>0.375</v>
      </c>
      <c r="C100" s="2">
        <v>1E-3</v>
      </c>
      <c r="D100" s="2" t="s">
        <v>13</v>
      </c>
      <c r="E100" s="3">
        <v>0</v>
      </c>
      <c r="F100" s="2">
        <v>-0.99264297000000001</v>
      </c>
      <c r="G100" s="2"/>
      <c r="H100" s="2">
        <f t="shared" si="14"/>
        <v>302</v>
      </c>
      <c r="I100">
        <f t="shared" si="16"/>
        <v>1.6556291390728477E-4</v>
      </c>
      <c r="J100" t="str">
        <f t="shared" si="15"/>
        <v>yes</v>
      </c>
      <c r="K100">
        <f t="shared" si="17"/>
        <v>3.3112582781456954E-5</v>
      </c>
      <c r="L100" t="str">
        <f t="shared" si="18"/>
        <v>yes!</v>
      </c>
      <c r="N100" t="str">
        <f t="shared" si="19"/>
        <v>large</v>
      </c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</row>
    <row r="101" spans="1:34">
      <c r="A101" s="19" t="s">
        <v>0</v>
      </c>
      <c r="B101" s="2">
        <v>0.375</v>
      </c>
      <c r="C101" s="2">
        <v>5.0000000000000001E-3</v>
      </c>
      <c r="D101" s="2" t="s">
        <v>13</v>
      </c>
      <c r="E101" s="3">
        <v>0</v>
      </c>
      <c r="F101" s="2">
        <v>-0.94996435000000001</v>
      </c>
      <c r="G101" s="2"/>
      <c r="H101" s="2">
        <f t="shared" si="14"/>
        <v>302</v>
      </c>
      <c r="I101">
        <f t="shared" si="16"/>
        <v>1.6556291390728477E-4</v>
      </c>
      <c r="J101" t="str">
        <f t="shared" si="15"/>
        <v>yes</v>
      </c>
      <c r="K101">
        <f t="shared" si="17"/>
        <v>3.3112582781456954E-5</v>
      </c>
      <c r="L101" t="str">
        <f t="shared" si="18"/>
        <v>yes!</v>
      </c>
      <c r="N101" t="str">
        <f t="shared" si="19"/>
        <v>large</v>
      </c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</row>
    <row r="102" spans="1:34">
      <c r="A102" s="19" t="s">
        <v>0</v>
      </c>
      <c r="B102" s="2">
        <v>0.375</v>
      </c>
      <c r="C102" s="2">
        <v>0.01</v>
      </c>
      <c r="D102" s="2" t="s">
        <v>13</v>
      </c>
      <c r="E102" s="3">
        <v>0</v>
      </c>
      <c r="F102" s="2">
        <v>-0.89218644999999996</v>
      </c>
      <c r="G102" s="2"/>
      <c r="H102" s="2">
        <f t="shared" si="14"/>
        <v>302</v>
      </c>
      <c r="I102">
        <f t="shared" si="16"/>
        <v>1.6556291390728477E-4</v>
      </c>
      <c r="J102" t="str">
        <f t="shared" si="15"/>
        <v>yes</v>
      </c>
      <c r="K102">
        <f t="shared" si="17"/>
        <v>3.3112582781456954E-5</v>
      </c>
      <c r="L102" t="str">
        <f t="shared" si="18"/>
        <v>yes!</v>
      </c>
      <c r="N102" t="str">
        <f t="shared" si="19"/>
        <v>large</v>
      </c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</row>
    <row r="103" spans="1:34">
      <c r="A103" s="19" t="s">
        <v>0</v>
      </c>
      <c r="B103" s="2">
        <v>0.375</v>
      </c>
      <c r="C103" s="2">
        <v>0.05</v>
      </c>
      <c r="D103" s="2" t="s">
        <v>13</v>
      </c>
      <c r="E103" s="3">
        <v>0</v>
      </c>
      <c r="F103" s="2">
        <v>-0.56837903999999995</v>
      </c>
      <c r="G103" s="2"/>
      <c r="H103" s="2">
        <f t="shared" si="14"/>
        <v>302</v>
      </c>
      <c r="I103">
        <f t="shared" si="16"/>
        <v>1.6556291390728477E-4</v>
      </c>
      <c r="J103" t="str">
        <f t="shared" si="15"/>
        <v>yes</v>
      </c>
      <c r="K103">
        <f t="shared" si="17"/>
        <v>3.3112582781456954E-5</v>
      </c>
      <c r="L103" t="str">
        <f t="shared" si="18"/>
        <v>yes!</v>
      </c>
      <c r="N103" t="str">
        <f t="shared" si="19"/>
        <v>large</v>
      </c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</row>
    <row r="104" spans="1:34">
      <c r="A104" s="19" t="s">
        <v>0</v>
      </c>
      <c r="B104" s="2">
        <v>0.375</v>
      </c>
      <c r="C104" s="2">
        <v>0.1</v>
      </c>
      <c r="D104" s="2" t="s">
        <v>13</v>
      </c>
      <c r="E104" s="3">
        <v>0</v>
      </c>
      <c r="F104" s="2">
        <v>-0.35440718999999998</v>
      </c>
      <c r="G104" s="2"/>
      <c r="H104" s="2">
        <f t="shared" si="14"/>
        <v>302</v>
      </c>
      <c r="I104">
        <f t="shared" si="16"/>
        <v>1.6556291390728477E-4</v>
      </c>
      <c r="J104" t="str">
        <f t="shared" si="15"/>
        <v>yes</v>
      </c>
      <c r="K104">
        <f t="shared" si="17"/>
        <v>3.3112582781456954E-5</v>
      </c>
      <c r="L104" t="str">
        <f t="shared" si="18"/>
        <v>yes!</v>
      </c>
      <c r="N104" t="str">
        <f t="shared" si="19"/>
        <v>medium</v>
      </c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</row>
    <row r="105" spans="1:34">
      <c r="A105" s="19" t="s">
        <v>0</v>
      </c>
      <c r="B105" s="2">
        <v>0.4375</v>
      </c>
      <c r="C105" s="2">
        <v>1E-4</v>
      </c>
      <c r="D105" s="2" t="s">
        <v>13</v>
      </c>
      <c r="E105" s="3">
        <v>0</v>
      </c>
      <c r="F105" s="2">
        <v>-0.22665597000000001</v>
      </c>
      <c r="G105" s="2"/>
      <c r="H105" s="2">
        <f t="shared" si="14"/>
        <v>302</v>
      </c>
      <c r="I105">
        <f t="shared" si="16"/>
        <v>1.6556291390728477E-4</v>
      </c>
      <c r="J105" t="str">
        <f t="shared" si="15"/>
        <v>yes</v>
      </c>
      <c r="K105">
        <f t="shared" si="17"/>
        <v>3.3112582781456954E-5</v>
      </c>
      <c r="L105" t="str">
        <f t="shared" si="18"/>
        <v>yes!</v>
      </c>
      <c r="N105" t="str">
        <f t="shared" si="19"/>
        <v>small</v>
      </c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</row>
    <row r="106" spans="1:34">
      <c r="A106" s="19" t="s">
        <v>0</v>
      </c>
      <c r="B106" s="2">
        <v>0.4375</v>
      </c>
      <c r="C106" s="2">
        <v>5.0000000000000001E-4</v>
      </c>
      <c r="D106" s="2" t="s">
        <v>13</v>
      </c>
      <c r="E106" s="3">
        <v>0</v>
      </c>
      <c r="F106" s="2">
        <v>-0.99077020999999998</v>
      </c>
      <c r="G106" s="2"/>
      <c r="H106" s="2">
        <f t="shared" si="14"/>
        <v>302</v>
      </c>
      <c r="I106">
        <f t="shared" si="16"/>
        <v>1.6556291390728477E-4</v>
      </c>
      <c r="J106" t="str">
        <f t="shared" si="15"/>
        <v>yes</v>
      </c>
      <c r="K106">
        <f t="shared" si="17"/>
        <v>3.3112582781456954E-5</v>
      </c>
      <c r="L106" t="str">
        <f t="shared" si="18"/>
        <v>yes!</v>
      </c>
      <c r="N106" t="str">
        <f t="shared" si="19"/>
        <v>large</v>
      </c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H106" s="21"/>
    </row>
    <row r="107" spans="1:34">
      <c r="A107" s="19" t="s">
        <v>0</v>
      </c>
      <c r="B107" s="2">
        <v>0.4375</v>
      </c>
      <c r="C107" s="2">
        <v>1E-3</v>
      </c>
      <c r="D107" s="2" t="s">
        <v>13</v>
      </c>
      <c r="E107" s="3">
        <v>0</v>
      </c>
      <c r="F107" s="2">
        <v>-0.98140411999999999</v>
      </c>
      <c r="G107" s="2"/>
      <c r="H107" s="2">
        <f t="shared" si="14"/>
        <v>302</v>
      </c>
      <c r="I107">
        <f t="shared" si="16"/>
        <v>1.6556291390728477E-4</v>
      </c>
      <c r="J107" t="str">
        <f t="shared" si="15"/>
        <v>yes</v>
      </c>
      <c r="K107">
        <f t="shared" si="17"/>
        <v>3.3112582781456954E-5</v>
      </c>
      <c r="L107" t="str">
        <f t="shared" si="18"/>
        <v>yes!</v>
      </c>
      <c r="N107" t="str">
        <f t="shared" si="19"/>
        <v>large</v>
      </c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</row>
    <row r="108" spans="1:34">
      <c r="A108" s="19" t="s">
        <v>0</v>
      </c>
      <c r="B108" s="2">
        <v>0.4375</v>
      </c>
      <c r="C108" s="2">
        <v>5.0000000000000001E-3</v>
      </c>
      <c r="D108" s="2" t="s">
        <v>13</v>
      </c>
      <c r="E108" s="3">
        <v>0</v>
      </c>
      <c r="F108" s="2">
        <v>-0.90930109000000003</v>
      </c>
      <c r="G108" s="2"/>
      <c r="H108" s="2">
        <f t="shared" si="14"/>
        <v>302</v>
      </c>
      <c r="I108">
        <f t="shared" si="16"/>
        <v>1.6556291390728477E-4</v>
      </c>
      <c r="J108" t="str">
        <f t="shared" si="15"/>
        <v>yes</v>
      </c>
      <c r="K108">
        <f t="shared" si="17"/>
        <v>3.3112582781456954E-5</v>
      </c>
      <c r="L108" t="str">
        <f t="shared" si="18"/>
        <v>yes!</v>
      </c>
      <c r="N108" t="str">
        <f t="shared" si="19"/>
        <v>large</v>
      </c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</row>
    <row r="109" spans="1:34">
      <c r="A109" s="19" t="s">
        <v>0</v>
      </c>
      <c r="B109" s="2">
        <v>0.4375</v>
      </c>
      <c r="C109" s="2">
        <v>0.01</v>
      </c>
      <c r="D109" s="2" t="s">
        <v>13</v>
      </c>
      <c r="E109" s="3">
        <v>0</v>
      </c>
      <c r="F109" s="2">
        <v>-0.82737499999999997</v>
      </c>
      <c r="G109" s="2"/>
      <c r="H109" s="2">
        <f t="shared" si="14"/>
        <v>302</v>
      </c>
      <c r="I109">
        <f t="shared" si="16"/>
        <v>1.6556291390728477E-4</v>
      </c>
      <c r="J109" t="str">
        <f t="shared" si="15"/>
        <v>yes</v>
      </c>
      <c r="K109">
        <f t="shared" si="17"/>
        <v>3.3112582781456954E-5</v>
      </c>
      <c r="L109" t="str">
        <f t="shared" si="18"/>
        <v>yes!</v>
      </c>
      <c r="N109" t="str">
        <f t="shared" si="19"/>
        <v>large</v>
      </c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</row>
    <row r="110" spans="1:34">
      <c r="A110" s="19" t="s">
        <v>0</v>
      </c>
      <c r="B110" s="2">
        <v>0.4375</v>
      </c>
      <c r="C110" s="2">
        <v>0.05</v>
      </c>
      <c r="D110" s="2" t="s">
        <v>13</v>
      </c>
      <c r="E110" s="3">
        <v>0</v>
      </c>
      <c r="F110" s="2">
        <v>-0.46857831999999999</v>
      </c>
      <c r="G110" s="2"/>
      <c r="H110" s="2">
        <f t="shared" si="14"/>
        <v>302</v>
      </c>
      <c r="I110">
        <f t="shared" si="16"/>
        <v>1.6556291390728477E-4</v>
      </c>
      <c r="J110" t="str">
        <f t="shared" si="15"/>
        <v>yes</v>
      </c>
      <c r="K110">
        <f t="shared" si="17"/>
        <v>3.3112582781456954E-5</v>
      </c>
      <c r="L110" t="str">
        <f t="shared" si="18"/>
        <v>yes!</v>
      </c>
      <c r="N110" t="str">
        <f t="shared" si="19"/>
        <v>large</v>
      </c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</row>
    <row r="111" spans="1:34">
      <c r="A111" s="19" t="s">
        <v>0</v>
      </c>
      <c r="B111" s="2">
        <v>0.4375</v>
      </c>
      <c r="C111" s="2">
        <v>0.1</v>
      </c>
      <c r="D111" s="2" t="s">
        <v>13</v>
      </c>
      <c r="E111" s="3">
        <v>0</v>
      </c>
      <c r="F111" s="2">
        <v>-0.27759324000000002</v>
      </c>
      <c r="G111" s="2"/>
      <c r="H111" s="2">
        <f t="shared" si="14"/>
        <v>302</v>
      </c>
      <c r="I111">
        <f t="shared" si="16"/>
        <v>1.6556291390728477E-4</v>
      </c>
      <c r="J111" t="str">
        <f t="shared" si="15"/>
        <v>yes</v>
      </c>
      <c r="K111">
        <f t="shared" si="17"/>
        <v>3.3112582781456954E-5</v>
      </c>
      <c r="L111" t="str">
        <f t="shared" si="18"/>
        <v>yes!</v>
      </c>
      <c r="N111" t="str">
        <f t="shared" si="19"/>
        <v>small</v>
      </c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</row>
    <row r="112" spans="1:34">
      <c r="A112" s="19" t="s">
        <v>0</v>
      </c>
      <c r="B112" s="2">
        <v>0.5</v>
      </c>
      <c r="C112" s="2">
        <v>1E-4</v>
      </c>
      <c r="D112" s="2" t="s">
        <v>13</v>
      </c>
      <c r="E112" s="3">
        <v>3.4080149999999999E-94</v>
      </c>
      <c r="F112" s="2">
        <v>3.7155479999999998E-2</v>
      </c>
      <c r="G112" s="2"/>
      <c r="H112" s="2">
        <f t="shared" si="14"/>
        <v>302</v>
      </c>
      <c r="I112">
        <f t="shared" si="16"/>
        <v>1.6556291390728477E-4</v>
      </c>
      <c r="J112" t="str">
        <f t="shared" si="15"/>
        <v>yes</v>
      </c>
      <c r="K112">
        <f t="shared" si="17"/>
        <v>3.3112582781456954E-5</v>
      </c>
      <c r="L112" t="str">
        <f t="shared" si="18"/>
        <v>yes!</v>
      </c>
      <c r="N112" t="str">
        <f t="shared" si="19"/>
        <v>minimal effect</v>
      </c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</row>
    <row r="113" spans="1:31">
      <c r="A113" s="19" t="s">
        <v>0</v>
      </c>
      <c r="B113" s="2">
        <v>0.5</v>
      </c>
      <c r="C113" s="2">
        <v>5.0000000000000001E-4</v>
      </c>
      <c r="D113" s="2" t="s">
        <v>13</v>
      </c>
      <c r="E113" s="3">
        <v>0</v>
      </c>
      <c r="F113" s="2">
        <v>-0.97980703999999996</v>
      </c>
      <c r="G113" s="2"/>
      <c r="H113" s="2">
        <f t="shared" si="14"/>
        <v>302</v>
      </c>
      <c r="I113">
        <f t="shared" si="16"/>
        <v>1.6556291390728477E-4</v>
      </c>
      <c r="J113" t="str">
        <f t="shared" si="15"/>
        <v>yes</v>
      </c>
      <c r="K113">
        <f t="shared" si="17"/>
        <v>3.3112582781456954E-5</v>
      </c>
      <c r="L113" t="str">
        <f t="shared" si="18"/>
        <v>yes!</v>
      </c>
      <c r="N113" t="str">
        <f t="shared" si="19"/>
        <v>large</v>
      </c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</row>
    <row r="114" spans="1:31">
      <c r="A114" s="19" t="s">
        <v>0</v>
      </c>
      <c r="B114" s="2">
        <v>0.5</v>
      </c>
      <c r="C114" s="2">
        <v>1E-3</v>
      </c>
      <c r="D114" s="2" t="s">
        <v>13</v>
      </c>
      <c r="E114" s="3">
        <v>0</v>
      </c>
      <c r="F114" s="2">
        <v>-0.96256969000000003</v>
      </c>
      <c r="G114" s="2"/>
      <c r="H114" s="2">
        <f t="shared" si="14"/>
        <v>302</v>
      </c>
      <c r="I114">
        <f t="shared" si="16"/>
        <v>1.6556291390728477E-4</v>
      </c>
      <c r="J114" t="str">
        <f t="shared" si="15"/>
        <v>yes</v>
      </c>
      <c r="K114">
        <f t="shared" si="17"/>
        <v>3.3112582781456954E-5</v>
      </c>
      <c r="L114" t="str">
        <f t="shared" si="18"/>
        <v>yes!</v>
      </c>
      <c r="N114" t="str">
        <f t="shared" si="19"/>
        <v>large</v>
      </c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</row>
    <row r="115" spans="1:31">
      <c r="A115" s="19" t="s">
        <v>0</v>
      </c>
      <c r="B115">
        <v>0.5</v>
      </c>
      <c r="C115">
        <v>5.0000000000000001E-3</v>
      </c>
      <c r="D115" s="2" t="s">
        <v>13</v>
      </c>
      <c r="E115">
        <v>0</v>
      </c>
      <c r="F115">
        <v>-0.84925671453735496</v>
      </c>
      <c r="G115" s="2"/>
      <c r="H115" s="2">
        <f t="shared" si="14"/>
        <v>302</v>
      </c>
      <c r="I115">
        <f t="shared" si="16"/>
        <v>1.6556291390728477E-4</v>
      </c>
      <c r="J115" t="str">
        <f t="shared" ref="J115:J132" si="20">IF(E115&lt;I115,"yes","no")</f>
        <v>yes</v>
      </c>
      <c r="K115">
        <f t="shared" ref="K115:K132" si="21">0.01/H115</f>
        <v>3.3112582781456954E-5</v>
      </c>
      <c r="L115" t="str">
        <f t="shared" ref="L115:L132" si="22">IF(E115&lt;K115,"yes!","")</f>
        <v>yes!</v>
      </c>
      <c r="N115" t="str">
        <f t="shared" ref="N115:N132" si="23">IF(ABS(F115)&lt;0.11,"minimal effect",IF(ABS(F115)&lt;0.28,"small",IF(ABS(F115)&lt;0.43,"medium","large")))</f>
        <v>large</v>
      </c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</row>
    <row r="116" spans="1:31">
      <c r="A116" s="19" t="s">
        <v>0</v>
      </c>
      <c r="B116">
        <v>0.5</v>
      </c>
      <c r="C116">
        <v>0.01</v>
      </c>
      <c r="D116" s="2" t="s">
        <v>13</v>
      </c>
      <c r="E116">
        <v>0</v>
      </c>
      <c r="F116">
        <v>-0.74021623617806298</v>
      </c>
      <c r="G116" s="2"/>
      <c r="H116" s="2">
        <f t="shared" si="14"/>
        <v>302</v>
      </c>
      <c r="I116">
        <f t="shared" si="16"/>
        <v>1.6556291390728477E-4</v>
      </c>
      <c r="J116" t="str">
        <f t="shared" si="20"/>
        <v>yes</v>
      </c>
      <c r="K116">
        <f t="shared" si="21"/>
        <v>3.3112582781456954E-5</v>
      </c>
      <c r="L116" t="str">
        <f t="shared" si="22"/>
        <v>yes!</v>
      </c>
      <c r="N116" t="str">
        <f t="shared" si="23"/>
        <v>large</v>
      </c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</row>
    <row r="117" spans="1:31">
      <c r="A117" s="19" t="s">
        <v>0</v>
      </c>
      <c r="B117">
        <v>0.5</v>
      </c>
      <c r="C117">
        <v>0.05</v>
      </c>
      <c r="D117" s="2" t="s">
        <v>13</v>
      </c>
      <c r="E117">
        <v>0</v>
      </c>
      <c r="F117">
        <v>-0.371590978586885</v>
      </c>
      <c r="G117" s="2"/>
      <c r="H117" s="2">
        <f t="shared" si="14"/>
        <v>302</v>
      </c>
      <c r="I117">
        <f t="shared" si="16"/>
        <v>1.6556291390728477E-4</v>
      </c>
      <c r="J117" t="str">
        <f t="shared" si="20"/>
        <v>yes</v>
      </c>
      <c r="K117">
        <f t="shared" si="21"/>
        <v>3.3112582781456954E-5</v>
      </c>
      <c r="L117" t="str">
        <f t="shared" si="22"/>
        <v>yes!</v>
      </c>
      <c r="N117" t="str">
        <f t="shared" si="23"/>
        <v>medium</v>
      </c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</row>
    <row r="118" spans="1:31">
      <c r="A118" s="19" t="s">
        <v>0</v>
      </c>
      <c r="B118">
        <v>0.5</v>
      </c>
      <c r="C118">
        <v>0.1</v>
      </c>
      <c r="D118" s="2" t="s">
        <v>13</v>
      </c>
      <c r="E118">
        <v>0</v>
      </c>
      <c r="F118">
        <v>-0.21002113469803699</v>
      </c>
      <c r="G118" s="2"/>
      <c r="H118" s="2">
        <f t="shared" si="14"/>
        <v>302</v>
      </c>
      <c r="I118">
        <f t="shared" si="16"/>
        <v>1.6556291390728477E-4</v>
      </c>
      <c r="J118" t="str">
        <f t="shared" si="20"/>
        <v>yes</v>
      </c>
      <c r="K118">
        <f t="shared" si="21"/>
        <v>3.3112582781456954E-5</v>
      </c>
      <c r="L118" t="str">
        <f t="shared" si="22"/>
        <v>yes!</v>
      </c>
      <c r="N118" t="str">
        <f t="shared" si="23"/>
        <v>small</v>
      </c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</row>
    <row r="119" spans="1:31">
      <c r="A119" s="19" t="s">
        <v>0</v>
      </c>
      <c r="B119">
        <v>0.5625</v>
      </c>
      <c r="C119">
        <v>1E-4</v>
      </c>
      <c r="D119" s="2" t="s">
        <v>13</v>
      </c>
      <c r="E119">
        <v>0</v>
      </c>
      <c r="F119">
        <v>0.17731365064273699</v>
      </c>
      <c r="G119" s="2"/>
      <c r="H119" s="2">
        <f t="shared" si="14"/>
        <v>302</v>
      </c>
      <c r="I119">
        <f t="shared" si="16"/>
        <v>1.6556291390728477E-4</v>
      </c>
      <c r="J119" t="str">
        <f t="shared" si="20"/>
        <v>yes</v>
      </c>
      <c r="K119">
        <f t="shared" si="21"/>
        <v>3.3112582781456954E-5</v>
      </c>
      <c r="L119" t="str">
        <f t="shared" si="22"/>
        <v>yes!</v>
      </c>
      <c r="N119" t="str">
        <f t="shared" si="23"/>
        <v>small</v>
      </c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</row>
    <row r="120" spans="1:31">
      <c r="A120" s="19" t="s">
        <v>0</v>
      </c>
      <c r="B120">
        <v>0.5625</v>
      </c>
      <c r="C120">
        <v>5.0000000000000001E-4</v>
      </c>
      <c r="D120" s="2" t="s">
        <v>13</v>
      </c>
      <c r="E120">
        <v>0</v>
      </c>
      <c r="F120">
        <v>-0.97164969348885499</v>
      </c>
      <c r="G120" s="2"/>
      <c r="H120" s="2">
        <f t="shared" si="14"/>
        <v>302</v>
      </c>
      <c r="I120">
        <f t="shared" si="16"/>
        <v>1.6556291390728477E-4</v>
      </c>
      <c r="J120" t="str">
        <f t="shared" si="20"/>
        <v>yes</v>
      </c>
      <c r="K120">
        <f t="shared" si="21"/>
        <v>3.3112582781456954E-5</v>
      </c>
      <c r="L120" t="str">
        <f t="shared" si="22"/>
        <v>yes!</v>
      </c>
      <c r="N120" t="str">
        <f t="shared" si="23"/>
        <v>large</v>
      </c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</row>
    <row r="121" spans="1:31">
      <c r="A121" s="19" t="s">
        <v>0</v>
      </c>
      <c r="B121">
        <v>0.5625</v>
      </c>
      <c r="C121">
        <v>1E-3</v>
      </c>
      <c r="D121" s="2" t="s">
        <v>13</v>
      </c>
      <c r="E121">
        <v>0</v>
      </c>
      <c r="F121">
        <v>-0.93518841746450199</v>
      </c>
      <c r="G121" s="2"/>
      <c r="H121" s="2">
        <f t="shared" si="14"/>
        <v>302</v>
      </c>
      <c r="I121">
        <f t="shared" si="16"/>
        <v>1.6556291390728477E-4</v>
      </c>
      <c r="J121" t="str">
        <f t="shared" si="20"/>
        <v>yes</v>
      </c>
      <c r="K121">
        <f t="shared" si="21"/>
        <v>3.3112582781456954E-5</v>
      </c>
      <c r="L121" t="str">
        <f t="shared" si="22"/>
        <v>yes!</v>
      </c>
      <c r="N121" t="str">
        <f t="shared" si="23"/>
        <v>large</v>
      </c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</row>
    <row r="122" spans="1:31">
      <c r="A122" s="19" t="s">
        <v>0</v>
      </c>
      <c r="B122">
        <v>0.5625</v>
      </c>
      <c r="C122">
        <v>5.0000000000000001E-3</v>
      </c>
      <c r="D122" s="2" t="s">
        <v>13</v>
      </c>
      <c r="E122">
        <v>0</v>
      </c>
      <c r="F122">
        <v>-0.77041455472920595</v>
      </c>
      <c r="G122" s="2"/>
      <c r="H122" s="2">
        <f t="shared" si="14"/>
        <v>302</v>
      </c>
      <c r="I122">
        <f t="shared" si="16"/>
        <v>1.6556291390728477E-4</v>
      </c>
      <c r="J122" t="str">
        <f t="shared" si="20"/>
        <v>yes</v>
      </c>
      <c r="K122">
        <f t="shared" si="21"/>
        <v>3.3112582781456954E-5</v>
      </c>
      <c r="L122" t="str">
        <f t="shared" si="22"/>
        <v>yes!</v>
      </c>
      <c r="N122" t="str">
        <f t="shared" si="23"/>
        <v>large</v>
      </c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</row>
    <row r="123" spans="1:31">
      <c r="A123" s="19" t="s">
        <v>0</v>
      </c>
      <c r="B123">
        <v>0.5625</v>
      </c>
      <c r="C123">
        <v>0.01</v>
      </c>
      <c r="D123" s="2" t="s">
        <v>13</v>
      </c>
      <c r="E123">
        <v>0</v>
      </c>
      <c r="F123">
        <v>-0.64879260364438396</v>
      </c>
      <c r="G123" s="2"/>
      <c r="H123" s="2">
        <f t="shared" si="14"/>
        <v>302</v>
      </c>
      <c r="I123">
        <f t="shared" si="16"/>
        <v>1.6556291390728477E-4</v>
      </c>
      <c r="J123" t="str">
        <f t="shared" si="20"/>
        <v>yes</v>
      </c>
      <c r="K123">
        <f t="shared" si="21"/>
        <v>3.3112582781456954E-5</v>
      </c>
      <c r="L123" t="str">
        <f t="shared" si="22"/>
        <v>yes!</v>
      </c>
      <c r="N123" t="str">
        <f t="shared" si="23"/>
        <v>large</v>
      </c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</row>
    <row r="124" spans="1:31">
      <c r="A124" s="19" t="s">
        <v>0</v>
      </c>
      <c r="B124">
        <v>0.5625</v>
      </c>
      <c r="C124">
        <v>0.05</v>
      </c>
      <c r="D124" s="2" t="s">
        <v>13</v>
      </c>
      <c r="E124">
        <v>0</v>
      </c>
      <c r="F124">
        <v>-0.28997904307793698</v>
      </c>
      <c r="G124" s="2"/>
      <c r="H124" s="2">
        <f t="shared" si="14"/>
        <v>302</v>
      </c>
      <c r="I124">
        <f t="shared" si="16"/>
        <v>1.6556291390728477E-4</v>
      </c>
      <c r="J124" t="str">
        <f t="shared" si="20"/>
        <v>yes</v>
      </c>
      <c r="K124">
        <f t="shared" si="21"/>
        <v>3.3112582781456954E-5</v>
      </c>
      <c r="L124" t="str">
        <f t="shared" si="22"/>
        <v>yes!</v>
      </c>
      <c r="N124" t="str">
        <f t="shared" si="23"/>
        <v>medium</v>
      </c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</row>
    <row r="125" spans="1:31">
      <c r="A125" s="19" t="s">
        <v>0</v>
      </c>
      <c r="B125">
        <v>0.5625</v>
      </c>
      <c r="C125">
        <v>0.1</v>
      </c>
      <c r="D125" s="2" t="s">
        <v>13</v>
      </c>
      <c r="E125">
        <v>0</v>
      </c>
      <c r="F125">
        <v>-0.14959839433139999</v>
      </c>
      <c r="G125" s="2"/>
      <c r="H125" s="2">
        <f t="shared" si="14"/>
        <v>302</v>
      </c>
      <c r="I125">
        <f t="shared" si="16"/>
        <v>1.6556291390728477E-4</v>
      </c>
      <c r="J125" t="str">
        <f t="shared" si="20"/>
        <v>yes</v>
      </c>
      <c r="K125">
        <f t="shared" si="21"/>
        <v>3.3112582781456954E-5</v>
      </c>
      <c r="L125" t="str">
        <f t="shared" si="22"/>
        <v>yes!</v>
      </c>
      <c r="N125" t="str">
        <f t="shared" si="23"/>
        <v>small</v>
      </c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</row>
    <row r="126" spans="1:31">
      <c r="A126" s="19" t="s">
        <v>0</v>
      </c>
      <c r="B126">
        <v>0.625</v>
      </c>
      <c r="C126">
        <v>1E-4</v>
      </c>
      <c r="D126" s="2" t="s">
        <v>13</v>
      </c>
      <c r="E126">
        <v>0</v>
      </c>
      <c r="F126">
        <v>0.46610105453570599</v>
      </c>
      <c r="G126" s="2"/>
      <c r="H126" s="2">
        <f t="shared" si="14"/>
        <v>302</v>
      </c>
      <c r="I126">
        <f t="shared" si="16"/>
        <v>1.6556291390728477E-4</v>
      </c>
      <c r="J126" t="str">
        <f t="shared" si="20"/>
        <v>yes</v>
      </c>
      <c r="K126">
        <f t="shared" si="21"/>
        <v>3.3112582781456954E-5</v>
      </c>
      <c r="L126" t="str">
        <f t="shared" si="22"/>
        <v>yes!</v>
      </c>
      <c r="N126" t="str">
        <f t="shared" si="23"/>
        <v>large</v>
      </c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</row>
    <row r="127" spans="1:31">
      <c r="A127" s="19" t="s">
        <v>0</v>
      </c>
      <c r="B127">
        <v>0.625</v>
      </c>
      <c r="C127">
        <v>5.0000000000000001E-4</v>
      </c>
      <c r="D127" s="2" t="s">
        <v>13</v>
      </c>
      <c r="E127">
        <v>0</v>
      </c>
      <c r="F127">
        <v>-0.92485859417000504</v>
      </c>
      <c r="G127" s="2"/>
      <c r="H127" s="2">
        <f t="shared" si="14"/>
        <v>302</v>
      </c>
      <c r="I127">
        <f t="shared" si="16"/>
        <v>1.6556291390728477E-4</v>
      </c>
      <c r="J127" t="str">
        <f t="shared" si="20"/>
        <v>yes</v>
      </c>
      <c r="K127">
        <f t="shared" si="21"/>
        <v>3.3112582781456954E-5</v>
      </c>
      <c r="L127" t="str">
        <f t="shared" si="22"/>
        <v>yes!</v>
      </c>
      <c r="N127" t="str">
        <f t="shared" si="23"/>
        <v>large</v>
      </c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</row>
    <row r="128" spans="1:31">
      <c r="A128" s="19" t="s">
        <v>0</v>
      </c>
      <c r="B128">
        <v>0.625</v>
      </c>
      <c r="C128">
        <v>1E-3</v>
      </c>
      <c r="D128" s="2" t="s">
        <v>13</v>
      </c>
      <c r="E128">
        <v>0</v>
      </c>
      <c r="F128">
        <v>-0.87676532916927996</v>
      </c>
      <c r="G128" s="2"/>
      <c r="H128" s="2">
        <f t="shared" si="14"/>
        <v>302</v>
      </c>
      <c r="I128">
        <f t="shared" si="16"/>
        <v>1.6556291390728477E-4</v>
      </c>
      <c r="J128" t="str">
        <f t="shared" si="20"/>
        <v>yes</v>
      </c>
      <c r="K128">
        <f t="shared" si="21"/>
        <v>3.3112582781456954E-5</v>
      </c>
      <c r="L128" t="str">
        <f t="shared" si="22"/>
        <v>yes!</v>
      </c>
      <c r="N128" t="str">
        <f t="shared" si="23"/>
        <v>large</v>
      </c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</row>
    <row r="129" spans="1:31">
      <c r="A129" s="19" t="s">
        <v>0</v>
      </c>
      <c r="B129">
        <v>0.625</v>
      </c>
      <c r="C129">
        <v>5.0000000000000001E-3</v>
      </c>
      <c r="D129" s="2" t="s">
        <v>13</v>
      </c>
      <c r="E129">
        <v>0</v>
      </c>
      <c r="F129">
        <v>-0.66355737234852197</v>
      </c>
      <c r="G129" s="2"/>
      <c r="H129" s="2">
        <f t="shared" si="14"/>
        <v>302</v>
      </c>
      <c r="I129">
        <f t="shared" si="16"/>
        <v>1.6556291390728477E-4</v>
      </c>
      <c r="J129" t="str">
        <f t="shared" si="20"/>
        <v>yes</v>
      </c>
      <c r="K129">
        <f t="shared" si="21"/>
        <v>3.3112582781456954E-5</v>
      </c>
      <c r="L129" t="str">
        <f t="shared" si="22"/>
        <v>yes!</v>
      </c>
      <c r="N129" t="str">
        <f t="shared" si="23"/>
        <v>large</v>
      </c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</row>
    <row r="130" spans="1:31">
      <c r="A130" s="19" t="s">
        <v>0</v>
      </c>
      <c r="B130">
        <v>0.625</v>
      </c>
      <c r="C130">
        <v>0.01</v>
      </c>
      <c r="D130" s="2" t="s">
        <v>13</v>
      </c>
      <c r="E130">
        <v>0</v>
      </c>
      <c r="F130">
        <v>-0.53334077085007203</v>
      </c>
      <c r="G130" s="2"/>
      <c r="H130" s="2">
        <f t="shared" si="14"/>
        <v>302</v>
      </c>
      <c r="I130">
        <f t="shared" si="16"/>
        <v>1.6556291390728477E-4</v>
      </c>
      <c r="J130" t="str">
        <f t="shared" si="20"/>
        <v>yes</v>
      </c>
      <c r="K130">
        <f t="shared" si="21"/>
        <v>3.3112582781456954E-5</v>
      </c>
      <c r="L130" t="str">
        <f t="shared" si="22"/>
        <v>yes!</v>
      </c>
      <c r="N130" t="str">
        <f t="shared" si="23"/>
        <v>large</v>
      </c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</row>
    <row r="131" spans="1:31">
      <c r="A131" s="19" t="s">
        <v>0</v>
      </c>
      <c r="B131">
        <v>0.625</v>
      </c>
      <c r="C131">
        <v>0.05</v>
      </c>
      <c r="D131" s="2" t="s">
        <v>13</v>
      </c>
      <c r="E131">
        <v>0</v>
      </c>
      <c r="F131">
        <v>-0.21113437496653401</v>
      </c>
      <c r="G131" s="2"/>
      <c r="H131" s="2">
        <f t="shared" ref="H131:H194" si="24">ROWS(A131:A433)-1</f>
        <v>302</v>
      </c>
      <c r="I131">
        <f t="shared" si="16"/>
        <v>1.6556291390728477E-4</v>
      </c>
      <c r="J131" t="str">
        <f t="shared" si="20"/>
        <v>yes</v>
      </c>
      <c r="K131">
        <f t="shared" si="21"/>
        <v>3.3112582781456954E-5</v>
      </c>
      <c r="L131" t="str">
        <f t="shared" si="22"/>
        <v>yes!</v>
      </c>
      <c r="N131" t="str">
        <f t="shared" si="23"/>
        <v>small</v>
      </c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</row>
    <row r="132" spans="1:31">
      <c r="A132" s="19" t="s">
        <v>0</v>
      </c>
      <c r="B132">
        <v>0.625</v>
      </c>
      <c r="C132">
        <v>0.1</v>
      </c>
      <c r="D132" s="2" t="s">
        <v>13</v>
      </c>
      <c r="E132">
        <v>0</v>
      </c>
      <c r="F132">
        <v>-0.101499589758948</v>
      </c>
      <c r="G132" s="2"/>
      <c r="H132" s="2">
        <f t="shared" si="24"/>
        <v>302</v>
      </c>
      <c r="I132">
        <f t="shared" si="16"/>
        <v>1.6556291390728477E-4</v>
      </c>
      <c r="J132" t="str">
        <f t="shared" si="20"/>
        <v>yes</v>
      </c>
      <c r="K132">
        <f t="shared" si="21"/>
        <v>3.3112582781456954E-5</v>
      </c>
      <c r="L132" t="str">
        <f t="shared" si="22"/>
        <v>yes!</v>
      </c>
      <c r="N132" t="str">
        <f t="shared" si="23"/>
        <v>minimal effect</v>
      </c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</row>
    <row r="133" spans="1:31">
      <c r="A133" s="9" t="s">
        <v>8</v>
      </c>
      <c r="B133" s="6">
        <v>0.125</v>
      </c>
      <c r="C133" s="6">
        <v>0.4</v>
      </c>
      <c r="D133" s="4" t="s">
        <v>14</v>
      </c>
      <c r="E133" s="6">
        <v>5.3767370003714302E-2</v>
      </c>
      <c r="F133" s="6">
        <v>1.03419675265123E-2</v>
      </c>
      <c r="G133" s="4"/>
      <c r="H133" s="4">
        <f t="shared" si="24"/>
        <v>302</v>
      </c>
      <c r="I133" s="6">
        <f t="shared" si="16"/>
        <v>1.6556291390728477E-4</v>
      </c>
      <c r="J133" s="6" t="str">
        <f t="shared" ref="J133" si="25">IF(E133&lt;I133,"yes","no")</f>
        <v>no</v>
      </c>
      <c r="K133" s="6">
        <f t="shared" ref="K133" si="26">0.01/H133</f>
        <v>3.3112582781456954E-5</v>
      </c>
      <c r="L133" s="6" t="str">
        <f t="shared" ref="L133" si="27">IF(E133&lt;K133,"yes!","")</f>
        <v/>
      </c>
      <c r="M133" s="6"/>
      <c r="N133" s="6" t="str">
        <f t="shared" ref="N133" si="28">IF(ABS(F133)&lt;0.11,"minimal effect",IF(ABS(F133)&lt;0.28,"small",IF(ABS(F133)&lt;0.43,"medium","large")))</f>
        <v>minimal effect</v>
      </c>
      <c r="O133" s="6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</row>
    <row r="134" spans="1:31">
      <c r="A134" s="15" t="s">
        <v>8</v>
      </c>
      <c r="B134">
        <v>0.125</v>
      </c>
      <c r="C134">
        <v>0.5</v>
      </c>
      <c r="D134" s="2" t="s">
        <v>14</v>
      </c>
      <c r="E134">
        <v>5.8129781427491103E-2</v>
      </c>
      <c r="F134">
        <v>-4.8601669087901403E-3</v>
      </c>
      <c r="G134" s="2"/>
      <c r="H134" s="2">
        <f t="shared" si="24"/>
        <v>302</v>
      </c>
      <c r="I134">
        <f t="shared" si="16"/>
        <v>1.6556291390728477E-4</v>
      </c>
      <c r="J134" t="str">
        <f t="shared" ref="J134:J197" si="29">IF(E134&lt;I134,"yes","no")</f>
        <v>no</v>
      </c>
      <c r="K134">
        <f t="shared" ref="K134:K197" si="30">0.01/H134</f>
        <v>3.3112582781456954E-5</v>
      </c>
      <c r="L134" t="str">
        <f t="shared" ref="L134:L197" si="31">IF(E134&lt;K134,"yes!","")</f>
        <v/>
      </c>
      <c r="N134" t="str">
        <f t="shared" ref="N134:N197" si="32">IF(ABS(F134)&lt;0.11,"minimal effect",IF(ABS(F134)&lt;0.28,"small",IF(ABS(F134)&lt;0.43,"medium","large")))</f>
        <v>minimal effect</v>
      </c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</row>
    <row r="135" spans="1:31">
      <c r="A135" s="15" t="s">
        <v>8</v>
      </c>
      <c r="B135">
        <v>0.125</v>
      </c>
      <c r="C135">
        <v>0.6</v>
      </c>
      <c r="D135" s="2" t="s">
        <v>14</v>
      </c>
      <c r="E135">
        <v>2.3452630694158999E-3</v>
      </c>
      <c r="F135">
        <v>7.1422300402976899E-3</v>
      </c>
      <c r="G135" s="2"/>
      <c r="H135" s="2">
        <f t="shared" si="24"/>
        <v>302</v>
      </c>
      <c r="I135">
        <f t="shared" si="16"/>
        <v>1.6556291390728477E-4</v>
      </c>
      <c r="J135" t="str">
        <f t="shared" si="29"/>
        <v>no</v>
      </c>
      <c r="K135">
        <f t="shared" si="30"/>
        <v>3.3112582781456954E-5</v>
      </c>
      <c r="L135" t="str">
        <f t="shared" si="31"/>
        <v/>
      </c>
      <c r="N135" t="str">
        <f t="shared" si="32"/>
        <v>minimal effect</v>
      </c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</row>
    <row r="136" spans="1:31">
      <c r="A136" s="15" t="s">
        <v>8</v>
      </c>
      <c r="B136">
        <v>0.125</v>
      </c>
      <c r="C136">
        <v>0.7</v>
      </c>
      <c r="D136" s="2" t="s">
        <v>14</v>
      </c>
      <c r="E136">
        <v>7.8598270442258398E-3</v>
      </c>
      <c r="F136">
        <v>-5.7704776176803804E-3</v>
      </c>
      <c r="G136" s="2"/>
      <c r="H136" s="2">
        <f t="shared" si="24"/>
        <v>302</v>
      </c>
      <c r="I136">
        <f t="shared" si="16"/>
        <v>1.6556291390728477E-4</v>
      </c>
      <c r="J136" t="str">
        <f t="shared" si="29"/>
        <v>no</v>
      </c>
      <c r="K136">
        <f t="shared" si="30"/>
        <v>3.3112582781456954E-5</v>
      </c>
      <c r="L136" t="str">
        <f t="shared" si="31"/>
        <v/>
      </c>
      <c r="N136" t="str">
        <f t="shared" si="32"/>
        <v>minimal effect</v>
      </c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</row>
    <row r="137" spans="1:31">
      <c r="A137" s="15" t="s">
        <v>8</v>
      </c>
      <c r="B137">
        <v>0.125</v>
      </c>
      <c r="C137">
        <v>0.8</v>
      </c>
      <c r="D137" s="2" t="s">
        <v>14</v>
      </c>
      <c r="E137">
        <v>1.4327381571986099E-2</v>
      </c>
      <c r="F137">
        <v>-4.9726455468154804E-3</v>
      </c>
      <c r="G137" s="2"/>
      <c r="H137" s="2">
        <f t="shared" si="24"/>
        <v>302</v>
      </c>
      <c r="I137">
        <f t="shared" si="16"/>
        <v>1.6556291390728477E-4</v>
      </c>
      <c r="J137" t="str">
        <f t="shared" si="29"/>
        <v>no</v>
      </c>
      <c r="K137">
        <f t="shared" si="30"/>
        <v>3.3112582781456954E-5</v>
      </c>
      <c r="L137" t="str">
        <f t="shared" si="31"/>
        <v/>
      </c>
      <c r="N137" t="str">
        <f t="shared" si="32"/>
        <v>minimal effect</v>
      </c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</row>
    <row r="138" spans="1:31">
      <c r="A138" s="15" t="s">
        <v>8</v>
      </c>
      <c r="B138">
        <v>0.125</v>
      </c>
      <c r="C138">
        <v>0.9</v>
      </c>
      <c r="D138" s="2" t="s">
        <v>14</v>
      </c>
      <c r="E138">
        <v>5.6764092564639899E-2</v>
      </c>
      <c r="F138">
        <v>-3.6482003826846898E-3</v>
      </c>
      <c r="G138" s="2"/>
      <c r="H138" s="2">
        <f t="shared" si="24"/>
        <v>302</v>
      </c>
      <c r="I138">
        <f t="shared" si="16"/>
        <v>1.6556291390728477E-4</v>
      </c>
      <c r="J138" t="str">
        <f t="shared" si="29"/>
        <v>no</v>
      </c>
      <c r="K138">
        <f t="shared" si="30"/>
        <v>3.3112582781456954E-5</v>
      </c>
      <c r="L138" t="str">
        <f t="shared" si="31"/>
        <v/>
      </c>
      <c r="N138" t="str">
        <f t="shared" si="32"/>
        <v>minimal effect</v>
      </c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</row>
    <row r="139" spans="1:31">
      <c r="A139" s="15" t="s">
        <v>8</v>
      </c>
      <c r="B139">
        <v>0.125</v>
      </c>
      <c r="C139">
        <v>1</v>
      </c>
      <c r="D139" s="2" t="s">
        <v>14</v>
      </c>
      <c r="E139">
        <v>4.8488731650422603E-3</v>
      </c>
      <c r="F139">
        <v>5.1116178354424198E-3</v>
      </c>
      <c r="G139" s="2"/>
      <c r="H139" s="2">
        <f t="shared" si="24"/>
        <v>302</v>
      </c>
      <c r="I139">
        <f t="shared" si="16"/>
        <v>1.6556291390728477E-4</v>
      </c>
      <c r="J139" t="str">
        <f t="shared" si="29"/>
        <v>no</v>
      </c>
      <c r="K139">
        <f t="shared" si="30"/>
        <v>3.3112582781456954E-5</v>
      </c>
      <c r="L139" t="str">
        <f t="shared" si="31"/>
        <v/>
      </c>
      <c r="N139" t="str">
        <f t="shared" si="32"/>
        <v>minimal effect</v>
      </c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</row>
    <row r="140" spans="1:31">
      <c r="A140" s="15" t="s">
        <v>8</v>
      </c>
      <c r="B140">
        <v>0.1875</v>
      </c>
      <c r="C140">
        <v>0.4</v>
      </c>
      <c r="D140" s="2" t="s">
        <v>14</v>
      </c>
      <c r="E140" s="21">
        <v>6.4692390442608905E-5</v>
      </c>
      <c r="F140">
        <v>1.1070634228729399E-2</v>
      </c>
      <c r="G140" s="2"/>
      <c r="H140" s="2">
        <f t="shared" si="24"/>
        <v>302</v>
      </c>
      <c r="I140">
        <f t="shared" si="16"/>
        <v>1.6556291390728477E-4</v>
      </c>
      <c r="J140" t="str">
        <f t="shared" si="29"/>
        <v>yes</v>
      </c>
      <c r="K140">
        <f t="shared" si="30"/>
        <v>3.3112582781456954E-5</v>
      </c>
      <c r="L140" t="str">
        <f t="shared" si="31"/>
        <v/>
      </c>
      <c r="N140" t="str">
        <f t="shared" si="32"/>
        <v>minimal effect</v>
      </c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</row>
    <row r="141" spans="1:31">
      <c r="A141" s="15" t="s">
        <v>8</v>
      </c>
      <c r="B141">
        <v>0.1875</v>
      </c>
      <c r="C141">
        <v>0.5</v>
      </c>
      <c r="D141" s="2" t="s">
        <v>14</v>
      </c>
      <c r="E141">
        <v>0.46265854656583699</v>
      </c>
      <c r="F141">
        <v>1.8218860157297101E-3</v>
      </c>
      <c r="G141" s="2"/>
      <c r="H141" s="2">
        <f t="shared" si="24"/>
        <v>302</v>
      </c>
      <c r="I141">
        <f t="shared" si="16"/>
        <v>1.6556291390728477E-4</v>
      </c>
      <c r="J141" t="str">
        <f t="shared" si="29"/>
        <v>no</v>
      </c>
      <c r="K141">
        <f t="shared" si="30"/>
        <v>3.3112582781456954E-5</v>
      </c>
      <c r="L141" t="str">
        <f t="shared" si="31"/>
        <v/>
      </c>
      <c r="N141" t="str">
        <f t="shared" si="32"/>
        <v>minimal effect</v>
      </c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</row>
    <row r="142" spans="1:31">
      <c r="A142" s="15" t="s">
        <v>8</v>
      </c>
      <c r="B142">
        <v>0.1875</v>
      </c>
      <c r="C142">
        <v>0.6</v>
      </c>
      <c r="D142" s="2" t="s">
        <v>14</v>
      </c>
      <c r="E142">
        <v>0.66756726734157601</v>
      </c>
      <c r="F142" s="21">
        <v>9.72020034843228E-4</v>
      </c>
      <c r="G142" s="2"/>
      <c r="H142" s="2">
        <f t="shared" si="24"/>
        <v>302</v>
      </c>
      <c r="I142">
        <f t="shared" si="16"/>
        <v>1.6556291390728477E-4</v>
      </c>
      <c r="J142" t="str">
        <f t="shared" si="29"/>
        <v>no</v>
      </c>
      <c r="K142">
        <f t="shared" si="30"/>
        <v>3.3112582781456954E-5</v>
      </c>
      <c r="L142" t="str">
        <f t="shared" si="31"/>
        <v/>
      </c>
      <c r="N142" t="str">
        <f t="shared" si="32"/>
        <v>minimal effect</v>
      </c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</row>
    <row r="143" spans="1:31">
      <c r="A143" s="15" t="s">
        <v>8</v>
      </c>
      <c r="B143">
        <v>0.1875</v>
      </c>
      <c r="C143">
        <v>0.7</v>
      </c>
      <c r="D143" s="2" t="s">
        <v>14</v>
      </c>
      <c r="E143">
        <v>0.18146390042208499</v>
      </c>
      <c r="F143">
        <v>-2.7949296338929102E-3</v>
      </c>
      <c r="G143" s="2"/>
      <c r="H143" s="2">
        <f t="shared" si="24"/>
        <v>302</v>
      </c>
      <c r="I143">
        <f t="shared" si="16"/>
        <v>1.6556291390728477E-4</v>
      </c>
      <c r="J143" t="str">
        <f t="shared" si="29"/>
        <v>no</v>
      </c>
      <c r="K143">
        <f t="shared" si="30"/>
        <v>3.3112582781456954E-5</v>
      </c>
      <c r="L143" t="str">
        <f t="shared" si="31"/>
        <v/>
      </c>
      <c r="N143" t="str">
        <f t="shared" si="32"/>
        <v>minimal effect</v>
      </c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</row>
    <row r="144" spans="1:31">
      <c r="A144" s="15" t="s">
        <v>8</v>
      </c>
      <c r="B144">
        <v>0.1875</v>
      </c>
      <c r="C144">
        <v>0.8</v>
      </c>
      <c r="D144" s="2" t="s">
        <v>14</v>
      </c>
      <c r="E144">
        <v>0.114334689922233</v>
      </c>
      <c r="F144">
        <v>3.08685654497032E-3</v>
      </c>
      <c r="G144" s="2"/>
      <c r="H144" s="2">
        <f t="shared" si="24"/>
        <v>302</v>
      </c>
      <c r="I144">
        <f t="shared" si="16"/>
        <v>1.6556291390728477E-4</v>
      </c>
      <c r="J144" t="str">
        <f t="shared" si="29"/>
        <v>no</v>
      </c>
      <c r="K144">
        <f t="shared" si="30"/>
        <v>3.3112582781456954E-5</v>
      </c>
      <c r="L144" t="str">
        <f t="shared" si="31"/>
        <v/>
      </c>
      <c r="N144" t="str">
        <f t="shared" si="32"/>
        <v>minimal effect</v>
      </c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</row>
    <row r="145" spans="1:31">
      <c r="A145" s="15" t="s">
        <v>8</v>
      </c>
      <c r="B145">
        <v>0.1875</v>
      </c>
      <c r="C145">
        <v>0.9</v>
      </c>
      <c r="D145" s="2" t="s">
        <v>14</v>
      </c>
      <c r="E145">
        <v>0.68735095528873302</v>
      </c>
      <c r="F145" s="21">
        <v>7.4313443612832595E-4</v>
      </c>
      <c r="G145" s="2"/>
      <c r="H145" s="2">
        <f t="shared" si="24"/>
        <v>302</v>
      </c>
      <c r="I145">
        <f t="shared" si="16"/>
        <v>1.6556291390728477E-4</v>
      </c>
      <c r="J145" t="str">
        <f t="shared" si="29"/>
        <v>no</v>
      </c>
      <c r="K145">
        <f t="shared" si="30"/>
        <v>3.3112582781456954E-5</v>
      </c>
      <c r="L145" t="str">
        <f t="shared" si="31"/>
        <v/>
      </c>
      <c r="N145" t="str">
        <f t="shared" si="32"/>
        <v>minimal effect</v>
      </c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</row>
    <row r="146" spans="1:31">
      <c r="A146" s="15" t="s">
        <v>8</v>
      </c>
      <c r="B146">
        <v>0.1875</v>
      </c>
      <c r="C146">
        <v>1</v>
      </c>
      <c r="D146" s="2" t="s">
        <v>14</v>
      </c>
      <c r="E146" s="21">
        <v>1.63958060543299E-12</v>
      </c>
      <c r="F146">
        <v>-1.2368842235122499E-2</v>
      </c>
      <c r="G146" s="2"/>
      <c r="H146" s="2">
        <f t="shared" si="24"/>
        <v>302</v>
      </c>
      <c r="I146">
        <f t="shared" si="16"/>
        <v>1.6556291390728477E-4</v>
      </c>
      <c r="J146" t="str">
        <f t="shared" si="29"/>
        <v>yes</v>
      </c>
      <c r="K146">
        <f t="shared" si="30"/>
        <v>3.3112582781456954E-5</v>
      </c>
      <c r="L146" t="str">
        <f t="shared" si="31"/>
        <v>yes!</v>
      </c>
      <c r="N146" t="str">
        <f t="shared" si="32"/>
        <v>minimal effect</v>
      </c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</row>
    <row r="147" spans="1:31">
      <c r="A147" s="15" t="s">
        <v>8</v>
      </c>
      <c r="B147">
        <v>0.25</v>
      </c>
      <c r="C147">
        <v>0.4</v>
      </c>
      <c r="D147" s="2" t="s">
        <v>14</v>
      </c>
      <c r="E147" s="21">
        <v>8.6729506253585203E-13</v>
      </c>
      <c r="F147">
        <v>1.9191051044299301E-2</v>
      </c>
      <c r="G147" s="2"/>
      <c r="H147" s="2">
        <f t="shared" si="24"/>
        <v>302</v>
      </c>
      <c r="I147">
        <f t="shared" si="16"/>
        <v>1.6556291390728477E-4</v>
      </c>
      <c r="J147" t="str">
        <f t="shared" si="29"/>
        <v>yes</v>
      </c>
      <c r="K147">
        <f t="shared" si="30"/>
        <v>3.3112582781456954E-5</v>
      </c>
      <c r="L147" t="str">
        <f t="shared" si="31"/>
        <v>yes!</v>
      </c>
      <c r="N147" t="str">
        <f t="shared" si="32"/>
        <v>minimal effect</v>
      </c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</row>
    <row r="148" spans="1:31">
      <c r="A148" s="15" t="s">
        <v>8</v>
      </c>
      <c r="B148">
        <v>0.25</v>
      </c>
      <c r="C148">
        <v>0.5</v>
      </c>
      <c r="D148" s="2" t="s">
        <v>14</v>
      </c>
      <c r="E148" s="21">
        <v>9.9780364661304906E-5</v>
      </c>
      <c r="F148">
        <v>9.3361406591794295E-3</v>
      </c>
      <c r="G148" s="2"/>
      <c r="H148" s="2">
        <f t="shared" si="24"/>
        <v>302</v>
      </c>
      <c r="I148">
        <f t="shared" si="16"/>
        <v>1.6556291390728477E-4</v>
      </c>
      <c r="J148" t="str">
        <f t="shared" si="29"/>
        <v>yes</v>
      </c>
      <c r="K148">
        <f t="shared" si="30"/>
        <v>3.3112582781456954E-5</v>
      </c>
      <c r="L148" t="str">
        <f t="shared" si="31"/>
        <v/>
      </c>
      <c r="N148" t="str">
        <f t="shared" si="32"/>
        <v>minimal effect</v>
      </c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</row>
    <row r="149" spans="1:31">
      <c r="A149" s="15" t="s">
        <v>8</v>
      </c>
      <c r="B149">
        <v>0.25</v>
      </c>
      <c r="C149">
        <v>0.6</v>
      </c>
      <c r="D149" s="2" t="s">
        <v>14</v>
      </c>
      <c r="E149">
        <v>0.66505733317887195</v>
      </c>
      <c r="F149" s="21">
        <v>9.4697039325922097E-4</v>
      </c>
      <c r="G149" s="2"/>
      <c r="H149" s="2">
        <f t="shared" si="24"/>
        <v>302</v>
      </c>
      <c r="I149">
        <f t="shared" si="16"/>
        <v>1.6556291390728477E-4</v>
      </c>
      <c r="J149" t="str">
        <f t="shared" si="29"/>
        <v>no</v>
      </c>
      <c r="K149">
        <f t="shared" si="30"/>
        <v>3.3112582781456954E-5</v>
      </c>
      <c r="L149" t="str">
        <f t="shared" si="31"/>
        <v/>
      </c>
      <c r="N149" t="str">
        <f t="shared" si="32"/>
        <v>minimal effect</v>
      </c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</row>
    <row r="150" spans="1:31">
      <c r="A150" s="15" t="s">
        <v>8</v>
      </c>
      <c r="B150">
        <v>0.25</v>
      </c>
      <c r="C150">
        <v>0.7</v>
      </c>
      <c r="D150" s="2" t="s">
        <v>14</v>
      </c>
      <c r="E150">
        <v>0.50660354793102103</v>
      </c>
      <c r="F150">
        <v>1.3448796408569599E-3</v>
      </c>
      <c r="G150" s="2"/>
      <c r="H150" s="2">
        <f t="shared" si="24"/>
        <v>302</v>
      </c>
      <c r="I150">
        <f t="shared" si="16"/>
        <v>1.6556291390728477E-4</v>
      </c>
      <c r="J150" t="str">
        <f t="shared" si="29"/>
        <v>no</v>
      </c>
      <c r="K150">
        <f t="shared" si="30"/>
        <v>3.3112582781456954E-5</v>
      </c>
      <c r="L150" t="str">
        <f t="shared" si="31"/>
        <v/>
      </c>
      <c r="N150" t="str">
        <f t="shared" si="32"/>
        <v>minimal effect</v>
      </c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</row>
    <row r="151" spans="1:31">
      <c r="A151" s="15" t="s">
        <v>8</v>
      </c>
      <c r="B151">
        <v>0.25</v>
      </c>
      <c r="C151">
        <v>0.8</v>
      </c>
      <c r="D151" s="2" t="s">
        <v>14</v>
      </c>
      <c r="E151">
        <v>0.33263404669434099</v>
      </c>
      <c r="F151">
        <v>-1.8373643491622501E-3</v>
      </c>
      <c r="G151" s="2"/>
      <c r="H151" s="2">
        <f t="shared" si="24"/>
        <v>302</v>
      </c>
      <c r="I151">
        <f t="shared" si="16"/>
        <v>1.6556291390728477E-4</v>
      </c>
      <c r="J151" t="str">
        <f t="shared" si="29"/>
        <v>no</v>
      </c>
      <c r="K151">
        <f t="shared" si="30"/>
        <v>3.3112582781456954E-5</v>
      </c>
      <c r="L151" t="str">
        <f t="shared" si="31"/>
        <v/>
      </c>
      <c r="N151" t="str">
        <f t="shared" si="32"/>
        <v>minimal effect</v>
      </c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</row>
    <row r="152" spans="1:31">
      <c r="A152" s="15" t="s">
        <v>8</v>
      </c>
      <c r="B152">
        <v>0.25</v>
      </c>
      <c r="C152">
        <v>0.9</v>
      </c>
      <c r="D152" s="2" t="s">
        <v>14</v>
      </c>
      <c r="E152">
        <v>0.87574224087972896</v>
      </c>
      <c r="F152" s="21">
        <v>-2.79640002604876E-4</v>
      </c>
      <c r="G152" s="2"/>
      <c r="H152" s="2">
        <f t="shared" si="24"/>
        <v>302</v>
      </c>
      <c r="I152">
        <f t="shared" si="16"/>
        <v>1.6556291390728477E-4</v>
      </c>
      <c r="J152" t="str">
        <f t="shared" si="29"/>
        <v>no</v>
      </c>
      <c r="K152">
        <f t="shared" si="30"/>
        <v>3.3112582781456954E-5</v>
      </c>
      <c r="L152" t="str">
        <f t="shared" si="31"/>
        <v/>
      </c>
      <c r="N152" t="str">
        <f t="shared" si="32"/>
        <v>minimal effect</v>
      </c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</row>
    <row r="153" spans="1:31">
      <c r="A153" s="15" t="s">
        <v>8</v>
      </c>
      <c r="B153">
        <v>0.25</v>
      </c>
      <c r="C153">
        <v>1</v>
      </c>
      <c r="D153" s="2" t="s">
        <v>14</v>
      </c>
      <c r="E153" s="21">
        <v>2.32070191146851E-4</v>
      </c>
      <c r="F153">
        <v>6.24362319955412E-3</v>
      </c>
      <c r="G153" s="2"/>
      <c r="H153" s="2">
        <f t="shared" si="24"/>
        <v>302</v>
      </c>
      <c r="I153">
        <f t="shared" si="16"/>
        <v>1.6556291390728477E-4</v>
      </c>
      <c r="J153" t="str">
        <f t="shared" si="29"/>
        <v>no</v>
      </c>
      <c r="K153">
        <f t="shared" si="30"/>
        <v>3.3112582781456954E-5</v>
      </c>
      <c r="L153" t="str">
        <f t="shared" si="31"/>
        <v/>
      </c>
      <c r="N153" t="str">
        <f t="shared" si="32"/>
        <v>minimal effect</v>
      </c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</row>
    <row r="154" spans="1:31">
      <c r="A154" s="15" t="s">
        <v>8</v>
      </c>
      <c r="B154">
        <v>0.3125</v>
      </c>
      <c r="C154">
        <v>0.3</v>
      </c>
      <c r="D154" s="2" t="s">
        <v>14</v>
      </c>
      <c r="E154" s="21">
        <v>6.10729575241077E-46</v>
      </c>
      <c r="F154">
        <v>4.2789996368278897E-2</v>
      </c>
      <c r="G154" s="2"/>
      <c r="H154" s="2">
        <f t="shared" si="24"/>
        <v>302</v>
      </c>
      <c r="I154">
        <f t="shared" si="16"/>
        <v>1.6556291390728477E-4</v>
      </c>
      <c r="J154" t="str">
        <f t="shared" si="29"/>
        <v>yes</v>
      </c>
      <c r="K154">
        <f t="shared" si="30"/>
        <v>3.3112582781456954E-5</v>
      </c>
      <c r="L154" t="str">
        <f t="shared" si="31"/>
        <v>yes!</v>
      </c>
      <c r="N154" t="str">
        <f t="shared" si="32"/>
        <v>minimal effect</v>
      </c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</row>
    <row r="155" spans="1:31">
      <c r="A155" s="15" t="s">
        <v>8</v>
      </c>
      <c r="B155">
        <v>0.3125</v>
      </c>
      <c r="C155">
        <v>0.4</v>
      </c>
      <c r="D155" s="2" t="s">
        <v>14</v>
      </c>
      <c r="E155" s="21">
        <v>2.66688465853927E-4</v>
      </c>
      <c r="F155">
        <v>9.5011183300877308E-3</v>
      </c>
      <c r="G155" s="2"/>
      <c r="H155" s="2">
        <f t="shared" si="24"/>
        <v>302</v>
      </c>
      <c r="I155">
        <f t="shared" si="16"/>
        <v>1.6556291390728477E-4</v>
      </c>
      <c r="J155" t="str">
        <f t="shared" si="29"/>
        <v>no</v>
      </c>
      <c r="K155">
        <f t="shared" si="30"/>
        <v>3.3112582781456954E-5</v>
      </c>
      <c r="L155" t="str">
        <f t="shared" si="31"/>
        <v/>
      </c>
      <c r="N155" t="str">
        <f t="shared" si="32"/>
        <v>minimal effect</v>
      </c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</row>
    <row r="156" spans="1:31">
      <c r="A156" s="15" t="s">
        <v>8</v>
      </c>
      <c r="B156">
        <v>0.3125</v>
      </c>
      <c r="C156">
        <v>0.5</v>
      </c>
      <c r="D156" s="2" t="s">
        <v>14</v>
      </c>
      <c r="E156">
        <v>0.57462529694466802</v>
      </c>
      <c r="F156">
        <v>-1.31147574191997E-3</v>
      </c>
      <c r="G156" s="2"/>
      <c r="H156" s="2">
        <f t="shared" si="24"/>
        <v>302</v>
      </c>
      <c r="I156">
        <f t="shared" si="16"/>
        <v>1.6556291390728477E-4</v>
      </c>
      <c r="J156" t="str">
        <f t="shared" si="29"/>
        <v>no</v>
      </c>
      <c r="K156">
        <f t="shared" si="30"/>
        <v>3.3112582781456954E-5</v>
      </c>
      <c r="L156" t="str">
        <f t="shared" si="31"/>
        <v/>
      </c>
      <c r="N156" t="str">
        <f t="shared" si="32"/>
        <v>minimal effect</v>
      </c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</row>
    <row r="157" spans="1:31">
      <c r="A157" s="15" t="s">
        <v>8</v>
      </c>
      <c r="B157">
        <v>0.3125</v>
      </c>
      <c r="C157">
        <v>0.6</v>
      </c>
      <c r="D157" s="2" t="s">
        <v>14</v>
      </c>
      <c r="E157" s="21">
        <v>9.9957359925265101E-17</v>
      </c>
      <c r="F157">
        <v>1.7706049926599E-2</v>
      </c>
      <c r="G157" s="2"/>
      <c r="H157" s="2">
        <f t="shared" si="24"/>
        <v>302</v>
      </c>
      <c r="I157">
        <f t="shared" si="16"/>
        <v>1.6556291390728477E-4</v>
      </c>
      <c r="J157" t="str">
        <f t="shared" si="29"/>
        <v>yes</v>
      </c>
      <c r="K157">
        <f t="shared" si="30"/>
        <v>3.3112582781456954E-5</v>
      </c>
      <c r="L157" t="str">
        <f t="shared" si="31"/>
        <v>yes!</v>
      </c>
      <c r="N157" t="str">
        <f t="shared" si="32"/>
        <v>minimal effect</v>
      </c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</row>
    <row r="158" spans="1:31">
      <c r="A158" s="15" t="s">
        <v>8</v>
      </c>
      <c r="B158">
        <v>0.3125</v>
      </c>
      <c r="C158">
        <v>0.7</v>
      </c>
      <c r="D158" s="2" t="s">
        <v>14</v>
      </c>
      <c r="E158">
        <v>0.179627129904745</v>
      </c>
      <c r="F158">
        <v>2.6455965687849099E-3</v>
      </c>
      <c r="G158" s="2"/>
      <c r="H158" s="2">
        <f t="shared" si="24"/>
        <v>302</v>
      </c>
      <c r="I158">
        <f t="shared" si="16"/>
        <v>1.6556291390728477E-4</v>
      </c>
      <c r="J158" t="str">
        <f t="shared" si="29"/>
        <v>no</v>
      </c>
      <c r="K158">
        <f t="shared" si="30"/>
        <v>3.3112582781456954E-5</v>
      </c>
      <c r="L158" t="str">
        <f t="shared" si="31"/>
        <v/>
      </c>
      <c r="N158" t="str">
        <f t="shared" si="32"/>
        <v>minimal effect</v>
      </c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</row>
    <row r="159" spans="1:31">
      <c r="A159" s="15" t="s">
        <v>8</v>
      </c>
      <c r="B159">
        <v>0.3125</v>
      </c>
      <c r="C159">
        <v>0.8</v>
      </c>
      <c r="D159" s="2" t="s">
        <v>14</v>
      </c>
      <c r="E159" s="21">
        <v>8.0019772534229601E-10</v>
      </c>
      <c r="F159">
        <v>-1.1331809377344701E-2</v>
      </c>
      <c r="G159" s="2"/>
      <c r="H159" s="2">
        <f t="shared" si="24"/>
        <v>302</v>
      </c>
      <c r="I159">
        <f t="shared" si="16"/>
        <v>1.6556291390728477E-4</v>
      </c>
      <c r="J159" t="str">
        <f t="shared" si="29"/>
        <v>yes</v>
      </c>
      <c r="K159">
        <f t="shared" si="30"/>
        <v>3.3112582781456954E-5</v>
      </c>
      <c r="L159" t="str">
        <f t="shared" si="31"/>
        <v>yes!</v>
      </c>
      <c r="N159" t="str">
        <f t="shared" si="32"/>
        <v>minimal effect</v>
      </c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</row>
    <row r="160" spans="1:31">
      <c r="A160" s="15" t="s">
        <v>8</v>
      </c>
      <c r="B160">
        <v>0.3125</v>
      </c>
      <c r="C160">
        <v>0.9</v>
      </c>
      <c r="D160" s="2" t="s">
        <v>14</v>
      </c>
      <c r="E160">
        <v>7.5283590247546004E-3</v>
      </c>
      <c r="F160">
        <v>-4.6481644572019601E-3</v>
      </c>
      <c r="G160" s="2"/>
      <c r="H160" s="2">
        <f t="shared" si="24"/>
        <v>302</v>
      </c>
      <c r="I160">
        <f t="shared" si="16"/>
        <v>1.6556291390728477E-4</v>
      </c>
      <c r="J160" t="str">
        <f t="shared" si="29"/>
        <v>no</v>
      </c>
      <c r="K160">
        <f t="shared" si="30"/>
        <v>3.3112582781456954E-5</v>
      </c>
      <c r="L160" t="str">
        <f t="shared" si="31"/>
        <v/>
      </c>
      <c r="N160" t="str">
        <f t="shared" si="32"/>
        <v>minimal effect</v>
      </c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</row>
    <row r="161" spans="1:31">
      <c r="A161" s="15" t="s">
        <v>8</v>
      </c>
      <c r="B161">
        <v>0.3125</v>
      </c>
      <c r="C161">
        <v>1</v>
      </c>
      <c r="D161" s="2" t="s">
        <v>14</v>
      </c>
      <c r="E161" s="21">
        <v>1.32942141872035E-9</v>
      </c>
      <c r="F161">
        <v>1.00121009532001E-2</v>
      </c>
      <c r="G161" s="2"/>
      <c r="H161" s="2">
        <f t="shared" si="24"/>
        <v>302</v>
      </c>
      <c r="I161">
        <f t="shared" si="16"/>
        <v>1.6556291390728477E-4</v>
      </c>
      <c r="J161" t="str">
        <f t="shared" si="29"/>
        <v>yes</v>
      </c>
      <c r="K161">
        <f t="shared" si="30"/>
        <v>3.3112582781456954E-5</v>
      </c>
      <c r="L161" t="str">
        <f t="shared" si="31"/>
        <v>yes!</v>
      </c>
      <c r="N161" t="str">
        <f t="shared" si="32"/>
        <v>minimal effect</v>
      </c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</row>
    <row r="162" spans="1:31">
      <c r="A162" s="15" t="s">
        <v>8</v>
      </c>
      <c r="B162">
        <v>0.375</v>
      </c>
      <c r="C162">
        <v>0.3</v>
      </c>
      <c r="D162" s="2" t="s">
        <v>14</v>
      </c>
      <c r="E162" s="21">
        <v>2.3695640314586599E-48</v>
      </c>
      <c r="F162">
        <v>4.2862015752869499E-2</v>
      </c>
      <c r="G162" s="2"/>
      <c r="H162" s="2">
        <f t="shared" si="24"/>
        <v>302</v>
      </c>
      <c r="I162">
        <f t="shared" si="16"/>
        <v>1.6556291390728477E-4</v>
      </c>
      <c r="J162" t="str">
        <f t="shared" si="29"/>
        <v>yes</v>
      </c>
      <c r="K162">
        <f t="shared" si="30"/>
        <v>3.3112582781456954E-5</v>
      </c>
      <c r="L162" t="str">
        <f t="shared" si="31"/>
        <v>yes!</v>
      </c>
      <c r="N162" t="str">
        <f t="shared" si="32"/>
        <v>minimal effect</v>
      </c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</row>
    <row r="163" spans="1:31">
      <c r="A163" s="15" t="s">
        <v>8</v>
      </c>
      <c r="B163">
        <v>0.375</v>
      </c>
      <c r="C163">
        <v>0.4</v>
      </c>
      <c r="D163" s="2" t="s">
        <v>14</v>
      </c>
      <c r="E163" s="21">
        <v>1.57767262103551E-17</v>
      </c>
      <c r="F163">
        <v>2.1709418372132298E-2</v>
      </c>
      <c r="G163" s="2"/>
      <c r="H163" s="2">
        <f t="shared" si="24"/>
        <v>302</v>
      </c>
      <c r="I163">
        <f t="shared" si="16"/>
        <v>1.6556291390728477E-4</v>
      </c>
      <c r="J163" t="str">
        <f t="shared" si="29"/>
        <v>yes</v>
      </c>
      <c r="K163">
        <f t="shared" si="30"/>
        <v>3.3112582781456954E-5</v>
      </c>
      <c r="L163" t="str">
        <f t="shared" si="31"/>
        <v>yes!</v>
      </c>
      <c r="N163" t="str">
        <f t="shared" si="32"/>
        <v>minimal effect</v>
      </c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</row>
    <row r="164" spans="1:31">
      <c r="A164" s="15" t="s">
        <v>8</v>
      </c>
      <c r="B164">
        <v>0.375</v>
      </c>
      <c r="C164">
        <v>0.5</v>
      </c>
      <c r="D164" s="2" t="s">
        <v>14</v>
      </c>
      <c r="E164">
        <v>1.85243025350183E-2</v>
      </c>
      <c r="F164">
        <v>5.3709165058462398E-3</v>
      </c>
      <c r="G164" s="2"/>
      <c r="H164" s="2">
        <f t="shared" si="24"/>
        <v>302</v>
      </c>
      <c r="I164">
        <f t="shared" si="16"/>
        <v>1.6556291390728477E-4</v>
      </c>
      <c r="J164" t="str">
        <f t="shared" si="29"/>
        <v>no</v>
      </c>
      <c r="K164">
        <f t="shared" si="30"/>
        <v>3.3112582781456954E-5</v>
      </c>
      <c r="L164" t="str">
        <f t="shared" si="31"/>
        <v/>
      </c>
      <c r="N164" t="str">
        <f t="shared" si="32"/>
        <v>minimal effect</v>
      </c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</row>
    <row r="165" spans="1:31">
      <c r="A165" s="15" t="s">
        <v>8</v>
      </c>
      <c r="B165">
        <v>0.375</v>
      </c>
      <c r="C165">
        <v>0.6</v>
      </c>
      <c r="D165" s="2" t="s">
        <v>14</v>
      </c>
      <c r="E165">
        <v>4.0209335232759102E-2</v>
      </c>
      <c r="F165">
        <v>4.2682594096032801E-3</v>
      </c>
      <c r="G165" s="2"/>
      <c r="H165" s="2">
        <f t="shared" si="24"/>
        <v>302</v>
      </c>
      <c r="I165">
        <f t="shared" si="16"/>
        <v>1.6556291390728477E-4</v>
      </c>
      <c r="J165" t="str">
        <f t="shared" si="29"/>
        <v>no</v>
      </c>
      <c r="K165">
        <f t="shared" si="30"/>
        <v>3.3112582781456954E-5</v>
      </c>
      <c r="L165" t="str">
        <f t="shared" si="31"/>
        <v/>
      </c>
      <c r="N165" t="str">
        <f t="shared" si="32"/>
        <v>minimal effect</v>
      </c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</row>
    <row r="166" spans="1:31">
      <c r="A166" s="15" t="s">
        <v>8</v>
      </c>
      <c r="B166">
        <v>0.375</v>
      </c>
      <c r="C166">
        <v>0.7</v>
      </c>
      <c r="D166" s="2" t="s">
        <v>14</v>
      </c>
      <c r="E166" s="21">
        <v>5.2104009792957597E-4</v>
      </c>
      <c r="F166">
        <v>-6.6820684019084E-3</v>
      </c>
      <c r="G166" s="2"/>
      <c r="H166" s="2">
        <f t="shared" si="24"/>
        <v>302</v>
      </c>
      <c r="I166">
        <f t="shared" si="16"/>
        <v>1.6556291390728477E-4</v>
      </c>
      <c r="J166" t="str">
        <f t="shared" si="29"/>
        <v>no</v>
      </c>
      <c r="K166">
        <f t="shared" si="30"/>
        <v>3.3112582781456954E-5</v>
      </c>
      <c r="L166" t="str">
        <f t="shared" si="31"/>
        <v/>
      </c>
      <c r="N166" t="str">
        <f t="shared" si="32"/>
        <v>minimal effect</v>
      </c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</row>
    <row r="167" spans="1:31">
      <c r="A167" s="15" t="s">
        <v>8</v>
      </c>
      <c r="B167">
        <v>0.375</v>
      </c>
      <c r="C167">
        <v>0.8</v>
      </c>
      <c r="D167" s="2" t="s">
        <v>14</v>
      </c>
      <c r="E167">
        <v>3.5362754563125899E-3</v>
      </c>
      <c r="F167">
        <v>-5.2518684007560297E-3</v>
      </c>
      <c r="G167" s="2"/>
      <c r="H167" s="2">
        <f t="shared" si="24"/>
        <v>302</v>
      </c>
      <c r="I167">
        <f t="shared" si="16"/>
        <v>1.6556291390728477E-4</v>
      </c>
      <c r="J167" t="str">
        <f t="shared" si="29"/>
        <v>no</v>
      </c>
      <c r="K167">
        <f t="shared" si="30"/>
        <v>3.3112582781456954E-5</v>
      </c>
      <c r="L167" t="str">
        <f t="shared" si="31"/>
        <v/>
      </c>
      <c r="N167" t="str">
        <f t="shared" si="32"/>
        <v>minimal effect</v>
      </c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</row>
    <row r="168" spans="1:31">
      <c r="A168" s="15" t="s">
        <v>8</v>
      </c>
      <c r="B168">
        <v>0.375</v>
      </c>
      <c r="C168">
        <v>0.9</v>
      </c>
      <c r="D168" s="2" t="s">
        <v>14</v>
      </c>
      <c r="E168">
        <v>2.8150980602525801E-3</v>
      </c>
      <c r="F168">
        <v>-5.0756239176479503E-3</v>
      </c>
      <c r="G168" s="2"/>
      <c r="H168" s="2">
        <f t="shared" si="24"/>
        <v>302</v>
      </c>
      <c r="I168">
        <f t="shared" si="16"/>
        <v>1.6556291390728477E-4</v>
      </c>
      <c r="J168" t="str">
        <f t="shared" si="29"/>
        <v>no</v>
      </c>
      <c r="K168">
        <f t="shared" si="30"/>
        <v>3.3112582781456954E-5</v>
      </c>
      <c r="L168" t="str">
        <f t="shared" si="31"/>
        <v/>
      </c>
      <c r="N168" t="str">
        <f t="shared" si="32"/>
        <v>minimal effect</v>
      </c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</row>
    <row r="169" spans="1:31">
      <c r="A169" s="15" t="s">
        <v>8</v>
      </c>
      <c r="B169">
        <v>0.375</v>
      </c>
      <c r="C169">
        <v>1</v>
      </c>
      <c r="D169" s="2" t="s">
        <v>14</v>
      </c>
      <c r="E169">
        <v>0.475547228958623</v>
      </c>
      <c r="F169">
        <v>-1.1496364114801101E-3</v>
      </c>
      <c r="G169" s="2"/>
      <c r="H169" s="2">
        <f t="shared" si="24"/>
        <v>302</v>
      </c>
      <c r="I169">
        <f t="shared" si="16"/>
        <v>1.6556291390728477E-4</v>
      </c>
      <c r="J169" t="str">
        <f t="shared" si="29"/>
        <v>no</v>
      </c>
      <c r="K169">
        <f t="shared" si="30"/>
        <v>3.3112582781456954E-5</v>
      </c>
      <c r="L169" t="str">
        <f t="shared" si="31"/>
        <v/>
      </c>
      <c r="N169" t="str">
        <f t="shared" si="32"/>
        <v>minimal effect</v>
      </c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</row>
    <row r="170" spans="1:31">
      <c r="A170" s="15" t="s">
        <v>8</v>
      </c>
      <c r="B170">
        <v>0.4375</v>
      </c>
      <c r="C170">
        <v>0.2</v>
      </c>
      <c r="D170" s="2" t="s">
        <v>14</v>
      </c>
      <c r="E170">
        <v>0</v>
      </c>
      <c r="F170">
        <v>0.492137018664485</v>
      </c>
      <c r="G170" s="2"/>
      <c r="H170" s="2">
        <f t="shared" si="24"/>
        <v>302</v>
      </c>
      <c r="I170">
        <f t="shared" si="16"/>
        <v>1.6556291390728477E-4</v>
      </c>
      <c r="J170" t="str">
        <f t="shared" si="29"/>
        <v>yes</v>
      </c>
      <c r="K170">
        <f t="shared" si="30"/>
        <v>3.3112582781456954E-5</v>
      </c>
      <c r="L170" t="str">
        <f t="shared" si="31"/>
        <v>yes!</v>
      </c>
      <c r="N170" t="str">
        <f t="shared" si="32"/>
        <v>large</v>
      </c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</row>
    <row r="171" spans="1:31">
      <c r="A171" s="15" t="s">
        <v>8</v>
      </c>
      <c r="B171">
        <v>0.4375</v>
      </c>
      <c r="C171">
        <v>0.3</v>
      </c>
      <c r="D171" s="2" t="s">
        <v>14</v>
      </c>
      <c r="E171" s="21">
        <v>1.5747149579375301E-48</v>
      </c>
      <c r="F171">
        <v>4.2148315768443002E-2</v>
      </c>
      <c r="G171" s="2"/>
      <c r="H171" s="2">
        <f t="shared" si="24"/>
        <v>302</v>
      </c>
      <c r="I171">
        <f t="shared" si="16"/>
        <v>1.6556291390728477E-4</v>
      </c>
      <c r="J171" t="str">
        <f t="shared" si="29"/>
        <v>yes</v>
      </c>
      <c r="K171">
        <f t="shared" si="30"/>
        <v>3.3112582781456954E-5</v>
      </c>
      <c r="L171" t="str">
        <f t="shared" si="31"/>
        <v>yes!</v>
      </c>
      <c r="N171" t="str">
        <f t="shared" si="32"/>
        <v>minimal effect</v>
      </c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</row>
    <row r="172" spans="1:31">
      <c r="A172" s="15" t="s">
        <v>8</v>
      </c>
      <c r="B172">
        <v>0.4375</v>
      </c>
      <c r="C172">
        <v>0.4</v>
      </c>
      <c r="D172" s="2" t="s">
        <v>14</v>
      </c>
      <c r="E172" s="21">
        <v>1.0039696162720101E-21</v>
      </c>
      <c r="F172">
        <v>2.3921094235080299E-2</v>
      </c>
      <c r="G172" s="2"/>
      <c r="H172" s="2">
        <f t="shared" si="24"/>
        <v>302</v>
      </c>
      <c r="I172">
        <f t="shared" si="16"/>
        <v>1.6556291390728477E-4</v>
      </c>
      <c r="J172" t="str">
        <f t="shared" si="29"/>
        <v>yes</v>
      </c>
      <c r="K172">
        <f t="shared" si="30"/>
        <v>3.3112582781456954E-5</v>
      </c>
      <c r="L172" t="str">
        <f t="shared" si="31"/>
        <v>yes!</v>
      </c>
      <c r="N172" t="str">
        <f t="shared" si="32"/>
        <v>minimal effect</v>
      </c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</row>
    <row r="173" spans="1:31">
      <c r="A173" s="15" t="s">
        <v>8</v>
      </c>
      <c r="B173">
        <v>0.4375</v>
      </c>
      <c r="C173">
        <v>0.5</v>
      </c>
      <c r="D173" s="2" t="s">
        <v>14</v>
      </c>
      <c r="E173">
        <v>4.8564865593171197E-3</v>
      </c>
      <c r="F173">
        <v>6.30795967367123E-3</v>
      </c>
      <c r="G173" s="2"/>
      <c r="H173" s="2">
        <f t="shared" si="24"/>
        <v>302</v>
      </c>
      <c r="I173">
        <f t="shared" si="16"/>
        <v>1.6556291390728477E-4</v>
      </c>
      <c r="J173" t="str">
        <f t="shared" si="29"/>
        <v>no</v>
      </c>
      <c r="K173">
        <f t="shared" si="30"/>
        <v>3.3112582781456954E-5</v>
      </c>
      <c r="L173" t="str">
        <f t="shared" si="31"/>
        <v/>
      </c>
      <c r="N173" t="str">
        <f t="shared" si="32"/>
        <v>minimal effect</v>
      </c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</row>
    <row r="174" spans="1:31">
      <c r="A174" s="15" t="s">
        <v>8</v>
      </c>
      <c r="B174">
        <v>0.4375</v>
      </c>
      <c r="C174">
        <v>0.6</v>
      </c>
      <c r="D174" s="2" t="s">
        <v>14</v>
      </c>
      <c r="E174">
        <v>3.91374010601847E-2</v>
      </c>
      <c r="F174">
        <v>4.21290454964588E-3</v>
      </c>
      <c r="G174" s="2"/>
      <c r="H174" s="2">
        <f t="shared" si="24"/>
        <v>302</v>
      </c>
      <c r="I174">
        <f t="shared" si="16"/>
        <v>1.6556291390728477E-4</v>
      </c>
      <c r="J174" t="str">
        <f t="shared" si="29"/>
        <v>no</v>
      </c>
      <c r="K174">
        <f t="shared" si="30"/>
        <v>3.3112582781456954E-5</v>
      </c>
      <c r="L174" t="str">
        <f t="shared" si="31"/>
        <v/>
      </c>
      <c r="N174" t="str">
        <f t="shared" si="32"/>
        <v>minimal effect</v>
      </c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</row>
    <row r="175" spans="1:31">
      <c r="A175" s="15" t="s">
        <v>8</v>
      </c>
      <c r="B175">
        <v>0.4375</v>
      </c>
      <c r="C175">
        <v>0.7</v>
      </c>
      <c r="D175" s="2" t="s">
        <v>14</v>
      </c>
      <c r="E175" s="21">
        <v>2.2517674687194202E-6</v>
      </c>
      <c r="F175">
        <v>8.9392944751983706E-3</v>
      </c>
      <c r="G175" s="2"/>
      <c r="H175" s="2">
        <f t="shared" si="24"/>
        <v>302</v>
      </c>
      <c r="I175">
        <f t="shared" si="16"/>
        <v>1.6556291390728477E-4</v>
      </c>
      <c r="J175" t="str">
        <f t="shared" si="29"/>
        <v>yes</v>
      </c>
      <c r="K175">
        <f t="shared" si="30"/>
        <v>3.3112582781456954E-5</v>
      </c>
      <c r="L175" t="str">
        <f t="shared" si="31"/>
        <v>yes!</v>
      </c>
      <c r="N175" t="str">
        <f t="shared" si="32"/>
        <v>minimal effect</v>
      </c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</row>
    <row r="176" spans="1:31">
      <c r="A176" s="15" t="s">
        <v>8</v>
      </c>
      <c r="B176">
        <v>0.4375</v>
      </c>
      <c r="C176">
        <v>0.8</v>
      </c>
      <c r="D176" s="2" t="s">
        <v>14</v>
      </c>
      <c r="E176">
        <v>0.568601224061976</v>
      </c>
      <c r="F176">
        <v>1.0079045725563901E-3</v>
      </c>
      <c r="G176" s="2"/>
      <c r="H176" s="2">
        <f t="shared" si="24"/>
        <v>302</v>
      </c>
      <c r="I176">
        <f t="shared" si="16"/>
        <v>1.6556291390728477E-4</v>
      </c>
      <c r="J176" t="str">
        <f t="shared" si="29"/>
        <v>no</v>
      </c>
      <c r="K176">
        <f t="shared" si="30"/>
        <v>3.3112582781456954E-5</v>
      </c>
      <c r="L176" t="str">
        <f t="shared" si="31"/>
        <v/>
      </c>
      <c r="N176" t="str">
        <f t="shared" si="32"/>
        <v>minimal effect</v>
      </c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</row>
    <row r="177" spans="1:31">
      <c r="A177" s="15" t="s">
        <v>8</v>
      </c>
      <c r="B177">
        <v>0.4375</v>
      </c>
      <c r="C177">
        <v>0.9</v>
      </c>
      <c r="D177" s="2" t="s">
        <v>14</v>
      </c>
      <c r="E177">
        <v>1.56111843268954E-2</v>
      </c>
      <c r="F177">
        <v>4.0278320076281198E-3</v>
      </c>
      <c r="G177" s="2"/>
      <c r="H177" s="2">
        <f t="shared" si="24"/>
        <v>302</v>
      </c>
      <c r="I177">
        <f t="shared" si="16"/>
        <v>1.6556291390728477E-4</v>
      </c>
      <c r="J177" t="str">
        <f t="shared" si="29"/>
        <v>no</v>
      </c>
      <c r="K177">
        <f t="shared" si="30"/>
        <v>3.3112582781456954E-5</v>
      </c>
      <c r="L177" t="str">
        <f t="shared" si="31"/>
        <v/>
      </c>
      <c r="N177" t="str">
        <f t="shared" si="32"/>
        <v>minimal effect</v>
      </c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</row>
    <row r="178" spans="1:31">
      <c r="A178" s="15" t="s">
        <v>8</v>
      </c>
      <c r="B178">
        <v>0.4375</v>
      </c>
      <c r="C178">
        <v>1</v>
      </c>
      <c r="D178" s="2" t="s">
        <v>14</v>
      </c>
      <c r="E178">
        <v>0.78508505095465198</v>
      </c>
      <c r="F178" s="21">
        <v>-4.31524989740584E-4</v>
      </c>
      <c r="G178" s="2"/>
      <c r="H178" s="2">
        <f t="shared" si="24"/>
        <v>302</v>
      </c>
      <c r="I178">
        <f t="shared" si="16"/>
        <v>1.6556291390728477E-4</v>
      </c>
      <c r="J178" t="str">
        <f t="shared" si="29"/>
        <v>no</v>
      </c>
      <c r="K178">
        <f t="shared" si="30"/>
        <v>3.3112582781456954E-5</v>
      </c>
      <c r="L178" t="str">
        <f t="shared" si="31"/>
        <v/>
      </c>
      <c r="N178" t="str">
        <f t="shared" si="32"/>
        <v>minimal effect</v>
      </c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</row>
    <row r="179" spans="1:31">
      <c r="A179" s="15" t="s">
        <v>8</v>
      </c>
      <c r="B179">
        <v>0.5</v>
      </c>
      <c r="C179">
        <v>0.2</v>
      </c>
      <c r="D179" s="2" t="s">
        <v>14</v>
      </c>
      <c r="E179">
        <v>0</v>
      </c>
      <c r="F179">
        <v>0.52281446936543097</v>
      </c>
      <c r="G179" s="2"/>
      <c r="H179" s="2">
        <f t="shared" si="24"/>
        <v>302</v>
      </c>
      <c r="I179">
        <f t="shared" si="16"/>
        <v>1.6556291390728477E-4</v>
      </c>
      <c r="J179" t="str">
        <f t="shared" si="29"/>
        <v>yes</v>
      </c>
      <c r="K179">
        <f t="shared" si="30"/>
        <v>3.3112582781456954E-5</v>
      </c>
      <c r="L179" t="str">
        <f t="shared" si="31"/>
        <v>yes!</v>
      </c>
      <c r="N179" t="str">
        <f t="shared" si="32"/>
        <v>large</v>
      </c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</row>
    <row r="180" spans="1:31">
      <c r="A180" s="15" t="s">
        <v>8</v>
      </c>
      <c r="B180">
        <v>0.5</v>
      </c>
      <c r="C180">
        <v>0.3</v>
      </c>
      <c r="D180" s="2" t="s">
        <v>14</v>
      </c>
      <c r="E180" s="21">
        <v>2.1445688030932799E-58</v>
      </c>
      <c r="F180">
        <v>4.5696383220643302E-2</v>
      </c>
      <c r="G180" s="2"/>
      <c r="H180" s="2">
        <f t="shared" si="24"/>
        <v>302</v>
      </c>
      <c r="I180">
        <f t="shared" si="16"/>
        <v>1.6556291390728477E-4</v>
      </c>
      <c r="J180" t="str">
        <f t="shared" si="29"/>
        <v>yes</v>
      </c>
      <c r="K180">
        <f t="shared" si="30"/>
        <v>3.3112582781456954E-5</v>
      </c>
      <c r="L180" t="str">
        <f t="shared" si="31"/>
        <v>yes!</v>
      </c>
      <c r="N180" t="str">
        <f t="shared" si="32"/>
        <v>minimal effect</v>
      </c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</row>
    <row r="181" spans="1:31">
      <c r="A181" s="15" t="s">
        <v>8</v>
      </c>
      <c r="B181">
        <v>0.5</v>
      </c>
      <c r="C181">
        <v>0.4</v>
      </c>
      <c r="D181" s="2" t="s">
        <v>14</v>
      </c>
      <c r="E181" s="21">
        <v>6.1522801005014201E-5</v>
      </c>
      <c r="F181">
        <v>9.8612459888080106E-3</v>
      </c>
      <c r="G181" s="2"/>
      <c r="H181" s="2">
        <f t="shared" si="24"/>
        <v>302</v>
      </c>
      <c r="I181">
        <f t="shared" ref="I181:I205" si="33">0.05/H181</f>
        <v>1.6556291390728477E-4</v>
      </c>
      <c r="J181" t="str">
        <f t="shared" si="29"/>
        <v>yes</v>
      </c>
      <c r="K181">
        <f t="shared" si="30"/>
        <v>3.3112582781456954E-5</v>
      </c>
      <c r="L181" t="str">
        <f t="shared" si="31"/>
        <v/>
      </c>
      <c r="N181" t="str">
        <f t="shared" si="32"/>
        <v>minimal effect</v>
      </c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</row>
    <row r="182" spans="1:31">
      <c r="A182" s="15" t="s">
        <v>8</v>
      </c>
      <c r="B182">
        <v>0.5</v>
      </c>
      <c r="C182">
        <v>0.5</v>
      </c>
      <c r="D182" s="2" t="s">
        <v>14</v>
      </c>
      <c r="E182">
        <v>8.2423409237567399E-2</v>
      </c>
      <c r="F182">
        <v>3.8184908877258198E-3</v>
      </c>
      <c r="G182" s="2"/>
      <c r="H182" s="2">
        <f t="shared" si="24"/>
        <v>302</v>
      </c>
      <c r="I182">
        <f t="shared" si="33"/>
        <v>1.6556291390728477E-4</v>
      </c>
      <c r="J182" t="str">
        <f t="shared" si="29"/>
        <v>no</v>
      </c>
      <c r="K182">
        <f t="shared" si="30"/>
        <v>3.3112582781456954E-5</v>
      </c>
      <c r="L182" t="str">
        <f t="shared" si="31"/>
        <v/>
      </c>
      <c r="N182" t="str">
        <f t="shared" si="32"/>
        <v>minimal effect</v>
      </c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</row>
    <row r="183" spans="1:31">
      <c r="A183" s="15" t="s">
        <v>8</v>
      </c>
      <c r="B183">
        <v>0.5</v>
      </c>
      <c r="C183">
        <v>0.6</v>
      </c>
      <c r="D183" s="2" t="s">
        <v>14</v>
      </c>
      <c r="E183">
        <v>0.124586564855209</v>
      </c>
      <c r="F183">
        <v>3.08497512072605E-3</v>
      </c>
      <c r="G183" s="2"/>
      <c r="H183" s="2">
        <f t="shared" si="24"/>
        <v>302</v>
      </c>
      <c r="I183">
        <f t="shared" si="33"/>
        <v>1.6556291390728477E-4</v>
      </c>
      <c r="J183" t="str">
        <f t="shared" si="29"/>
        <v>no</v>
      </c>
      <c r="K183">
        <f t="shared" si="30"/>
        <v>3.3112582781456954E-5</v>
      </c>
      <c r="L183" t="str">
        <f t="shared" si="31"/>
        <v/>
      </c>
      <c r="N183" t="str">
        <f t="shared" si="32"/>
        <v>minimal effect</v>
      </c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</row>
    <row r="184" spans="1:31">
      <c r="A184" s="15" t="s">
        <v>8</v>
      </c>
      <c r="B184">
        <v>0.5</v>
      </c>
      <c r="C184">
        <v>0.7</v>
      </c>
      <c r="D184" s="2" t="s">
        <v>14</v>
      </c>
      <c r="E184" s="21">
        <v>2.6360438162739398E-4</v>
      </c>
      <c r="F184">
        <v>6.7912449736971898E-3</v>
      </c>
      <c r="G184" s="2"/>
      <c r="H184" s="2">
        <f t="shared" si="24"/>
        <v>302</v>
      </c>
      <c r="I184">
        <f t="shared" si="33"/>
        <v>1.6556291390728477E-4</v>
      </c>
      <c r="J184" t="str">
        <f t="shared" si="29"/>
        <v>no</v>
      </c>
      <c r="K184">
        <f t="shared" si="30"/>
        <v>3.3112582781456954E-5</v>
      </c>
      <c r="L184" t="str">
        <f t="shared" si="31"/>
        <v/>
      </c>
      <c r="N184" t="str">
        <f t="shared" si="32"/>
        <v>minimal effect</v>
      </c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</row>
    <row r="185" spans="1:31">
      <c r="A185" s="15" t="s">
        <v>8</v>
      </c>
      <c r="B185">
        <v>0.5</v>
      </c>
      <c r="C185">
        <v>0.8</v>
      </c>
      <c r="D185" s="2" t="s">
        <v>14</v>
      </c>
      <c r="E185" s="21">
        <v>4.0297120577585199E-4</v>
      </c>
      <c r="F185">
        <v>6.1620612253016497E-3</v>
      </c>
      <c r="G185" s="2"/>
      <c r="H185" s="2">
        <f t="shared" si="24"/>
        <v>302</v>
      </c>
      <c r="I185">
        <f t="shared" si="33"/>
        <v>1.6556291390728477E-4</v>
      </c>
      <c r="J185" t="str">
        <f t="shared" si="29"/>
        <v>no</v>
      </c>
      <c r="K185">
        <f t="shared" si="30"/>
        <v>3.3112582781456954E-5</v>
      </c>
      <c r="L185" t="str">
        <f t="shared" si="31"/>
        <v/>
      </c>
      <c r="N185" t="str">
        <f t="shared" si="32"/>
        <v>minimal effect</v>
      </c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</row>
    <row r="186" spans="1:31">
      <c r="A186" s="15" t="s">
        <v>8</v>
      </c>
      <c r="B186">
        <v>0.5</v>
      </c>
      <c r="C186">
        <v>0.9</v>
      </c>
      <c r="D186" s="2" t="s">
        <v>14</v>
      </c>
      <c r="E186">
        <v>0.98904509277858998</v>
      </c>
      <c r="F186" s="21">
        <v>-2.2525775802506599E-5</v>
      </c>
      <c r="G186" s="2"/>
      <c r="H186" s="2">
        <f t="shared" si="24"/>
        <v>302</v>
      </c>
      <c r="I186">
        <f t="shared" si="33"/>
        <v>1.6556291390728477E-4</v>
      </c>
      <c r="J186" t="str">
        <f t="shared" si="29"/>
        <v>no</v>
      </c>
      <c r="K186">
        <f t="shared" si="30"/>
        <v>3.3112582781456954E-5</v>
      </c>
      <c r="L186" t="str">
        <f t="shared" si="31"/>
        <v/>
      </c>
      <c r="N186" t="str">
        <f t="shared" si="32"/>
        <v>minimal effect</v>
      </c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</row>
    <row r="187" spans="1:31">
      <c r="A187" s="15" t="s">
        <v>8</v>
      </c>
      <c r="B187">
        <v>0.5</v>
      </c>
      <c r="C187">
        <v>1</v>
      </c>
      <c r="D187" s="2" t="s">
        <v>14</v>
      </c>
      <c r="E187" s="21">
        <v>3.4858428977296001E-6</v>
      </c>
      <c r="F187">
        <v>7.2207462790550101E-3</v>
      </c>
      <c r="G187" s="2"/>
      <c r="H187" s="2">
        <f t="shared" si="24"/>
        <v>302</v>
      </c>
      <c r="I187">
        <f t="shared" si="33"/>
        <v>1.6556291390728477E-4</v>
      </c>
      <c r="J187" t="str">
        <f t="shared" si="29"/>
        <v>yes</v>
      </c>
      <c r="K187">
        <f t="shared" si="30"/>
        <v>3.3112582781456954E-5</v>
      </c>
      <c r="L187" t="str">
        <f t="shared" si="31"/>
        <v>yes!</v>
      </c>
      <c r="N187" t="str">
        <f t="shared" si="32"/>
        <v>minimal effect</v>
      </c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</row>
    <row r="188" spans="1:31">
      <c r="A188" s="15" t="s">
        <v>8</v>
      </c>
      <c r="B188">
        <v>0.5625</v>
      </c>
      <c r="C188">
        <v>0.2</v>
      </c>
      <c r="D188" s="2" t="s">
        <v>14</v>
      </c>
      <c r="E188">
        <v>0</v>
      </c>
      <c r="F188">
        <v>0.50206799774655697</v>
      </c>
      <c r="G188" s="2"/>
      <c r="H188" s="2">
        <f t="shared" si="24"/>
        <v>302</v>
      </c>
      <c r="I188">
        <f t="shared" si="33"/>
        <v>1.6556291390728477E-4</v>
      </c>
      <c r="J188" t="str">
        <f t="shared" si="29"/>
        <v>yes</v>
      </c>
      <c r="K188">
        <f t="shared" si="30"/>
        <v>3.3112582781456954E-5</v>
      </c>
      <c r="L188" t="str">
        <f t="shared" si="31"/>
        <v>yes!</v>
      </c>
      <c r="N188" t="str">
        <f t="shared" si="32"/>
        <v>large</v>
      </c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</row>
    <row r="189" spans="1:31">
      <c r="A189" s="15" t="s">
        <v>8</v>
      </c>
      <c r="B189">
        <v>0.5625</v>
      </c>
      <c r="C189">
        <v>0.3</v>
      </c>
      <c r="D189" s="2" t="s">
        <v>14</v>
      </c>
      <c r="E189" s="21">
        <v>3.4352966670890302E-46</v>
      </c>
      <c r="F189">
        <v>3.9925395241487298E-2</v>
      </c>
      <c r="G189" s="2"/>
      <c r="H189" s="2">
        <f t="shared" si="24"/>
        <v>302</v>
      </c>
      <c r="I189">
        <f t="shared" si="33"/>
        <v>1.6556291390728477E-4</v>
      </c>
      <c r="J189" t="str">
        <f t="shared" si="29"/>
        <v>yes</v>
      </c>
      <c r="K189">
        <f t="shared" si="30"/>
        <v>3.3112582781456954E-5</v>
      </c>
      <c r="L189" t="str">
        <f t="shared" si="31"/>
        <v>yes!</v>
      </c>
      <c r="N189" t="str">
        <f t="shared" si="32"/>
        <v>minimal effect</v>
      </c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</row>
    <row r="190" spans="1:31">
      <c r="A190" s="15" t="s">
        <v>8</v>
      </c>
      <c r="B190">
        <v>0.5625</v>
      </c>
      <c r="C190">
        <v>0.4</v>
      </c>
      <c r="D190" s="2" t="s">
        <v>14</v>
      </c>
      <c r="E190" s="21">
        <v>1.8667688348811999E-7</v>
      </c>
      <c r="F190">
        <v>1.26372937727926E-2</v>
      </c>
      <c r="G190" s="2"/>
      <c r="H190" s="2">
        <f t="shared" si="24"/>
        <v>302</v>
      </c>
      <c r="I190">
        <f t="shared" si="33"/>
        <v>1.6556291390728477E-4</v>
      </c>
      <c r="J190" t="str">
        <f t="shared" si="29"/>
        <v>yes</v>
      </c>
      <c r="K190">
        <f t="shared" si="30"/>
        <v>3.3112582781456954E-5</v>
      </c>
      <c r="L190" t="str">
        <f t="shared" si="31"/>
        <v>yes!</v>
      </c>
      <c r="N190" t="str">
        <f t="shared" si="32"/>
        <v>minimal effect</v>
      </c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</row>
    <row r="191" spans="1:31">
      <c r="A191" s="15" t="s">
        <v>8</v>
      </c>
      <c r="B191">
        <v>0.5625</v>
      </c>
      <c r="C191">
        <v>0.5</v>
      </c>
      <c r="D191" s="2" t="s">
        <v>14</v>
      </c>
      <c r="E191" s="21">
        <v>2.6819179177776501E-23</v>
      </c>
      <c r="F191">
        <v>2.1591415039520501E-2</v>
      </c>
      <c r="G191" s="2"/>
      <c r="H191" s="2">
        <f t="shared" si="24"/>
        <v>302</v>
      </c>
      <c r="I191">
        <f t="shared" si="33"/>
        <v>1.6556291390728477E-4</v>
      </c>
      <c r="J191" t="str">
        <f t="shared" si="29"/>
        <v>yes</v>
      </c>
      <c r="K191">
        <f t="shared" si="30"/>
        <v>3.3112582781456954E-5</v>
      </c>
      <c r="L191" t="str">
        <f t="shared" si="31"/>
        <v>yes!</v>
      </c>
      <c r="N191" t="str">
        <f t="shared" si="32"/>
        <v>minimal effect</v>
      </c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</row>
    <row r="192" spans="1:31">
      <c r="A192" s="15" t="s">
        <v>8</v>
      </c>
      <c r="B192">
        <v>0.5625</v>
      </c>
      <c r="C192">
        <v>0.6</v>
      </c>
      <c r="D192" s="2" t="s">
        <v>14</v>
      </c>
      <c r="E192" s="21">
        <v>3.4435334167986498E-6</v>
      </c>
      <c r="F192">
        <v>9.2035517468104806E-3</v>
      </c>
      <c r="G192" s="2"/>
      <c r="H192" s="2">
        <f t="shared" si="24"/>
        <v>302</v>
      </c>
      <c r="I192">
        <f t="shared" si="33"/>
        <v>1.6556291390728477E-4</v>
      </c>
      <c r="J192" t="str">
        <f t="shared" si="29"/>
        <v>yes</v>
      </c>
      <c r="K192">
        <f t="shared" si="30"/>
        <v>3.3112582781456954E-5</v>
      </c>
      <c r="L192" t="str">
        <f t="shared" si="31"/>
        <v>yes!</v>
      </c>
      <c r="N192" t="str">
        <f t="shared" si="32"/>
        <v>minimal effect</v>
      </c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</row>
    <row r="193" spans="1:31">
      <c r="A193" s="15" t="s">
        <v>8</v>
      </c>
      <c r="B193">
        <v>0.5625</v>
      </c>
      <c r="C193">
        <v>0.7</v>
      </c>
      <c r="D193" s="2" t="s">
        <v>14</v>
      </c>
      <c r="E193">
        <v>8.91813448471558E-2</v>
      </c>
      <c r="F193">
        <v>3.1223925004215899E-3</v>
      </c>
      <c r="G193" s="2"/>
      <c r="H193" s="2">
        <f t="shared" si="24"/>
        <v>302</v>
      </c>
      <c r="I193">
        <f t="shared" si="33"/>
        <v>1.6556291390728477E-4</v>
      </c>
      <c r="J193" t="str">
        <f t="shared" si="29"/>
        <v>no</v>
      </c>
      <c r="K193">
        <f t="shared" si="30"/>
        <v>3.3112582781456954E-5</v>
      </c>
      <c r="L193" t="str">
        <f t="shared" si="31"/>
        <v/>
      </c>
      <c r="N193" t="str">
        <f t="shared" si="32"/>
        <v>minimal effect</v>
      </c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</row>
    <row r="194" spans="1:31">
      <c r="A194" s="15" t="s">
        <v>8</v>
      </c>
      <c r="B194">
        <v>0.5625</v>
      </c>
      <c r="C194">
        <v>0.8</v>
      </c>
      <c r="D194" s="2" t="s">
        <v>14</v>
      </c>
      <c r="E194">
        <v>1.39270888390211E-2</v>
      </c>
      <c r="F194">
        <v>-4.2244850113779498E-3</v>
      </c>
      <c r="G194" s="2"/>
      <c r="H194" s="2">
        <f t="shared" si="24"/>
        <v>302</v>
      </c>
      <c r="I194">
        <f t="shared" si="33"/>
        <v>1.6556291390728477E-4</v>
      </c>
      <c r="J194" t="str">
        <f t="shared" si="29"/>
        <v>no</v>
      </c>
      <c r="K194">
        <f t="shared" si="30"/>
        <v>3.3112582781456954E-5</v>
      </c>
      <c r="L194" t="str">
        <f t="shared" si="31"/>
        <v/>
      </c>
      <c r="N194" t="str">
        <f t="shared" si="32"/>
        <v>minimal effect</v>
      </c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</row>
    <row r="195" spans="1:31">
      <c r="A195" s="15" t="s">
        <v>8</v>
      </c>
      <c r="B195">
        <v>0.5625</v>
      </c>
      <c r="C195">
        <v>0.9</v>
      </c>
      <c r="D195" s="2" t="s">
        <v>14</v>
      </c>
      <c r="E195" s="21">
        <v>3.10049516316777E-4</v>
      </c>
      <c r="F195">
        <v>-5.8416171102614401E-3</v>
      </c>
      <c r="G195" s="2"/>
      <c r="H195" s="2">
        <f t="shared" ref="H195:H258" si="34">ROWS(A195:A497)-1</f>
        <v>302</v>
      </c>
      <c r="I195">
        <f t="shared" si="33"/>
        <v>1.6556291390728477E-4</v>
      </c>
      <c r="J195" t="str">
        <f t="shared" si="29"/>
        <v>no</v>
      </c>
      <c r="K195">
        <f t="shared" si="30"/>
        <v>3.3112582781456954E-5</v>
      </c>
      <c r="L195" t="str">
        <f t="shared" si="31"/>
        <v/>
      </c>
      <c r="N195" t="str">
        <f t="shared" si="32"/>
        <v>minimal effect</v>
      </c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</row>
    <row r="196" spans="1:31">
      <c r="A196" s="15" t="s">
        <v>8</v>
      </c>
      <c r="B196">
        <v>0.5625</v>
      </c>
      <c r="C196">
        <v>1</v>
      </c>
      <c r="D196" s="2" t="s">
        <v>14</v>
      </c>
      <c r="E196">
        <v>0.409685103465456</v>
      </c>
      <c r="F196">
        <v>1.2666737278802199E-3</v>
      </c>
      <c r="G196" s="2"/>
      <c r="H196" s="2">
        <f t="shared" si="34"/>
        <v>302</v>
      </c>
      <c r="I196">
        <f t="shared" si="33"/>
        <v>1.6556291390728477E-4</v>
      </c>
      <c r="J196" t="str">
        <f t="shared" si="29"/>
        <v>no</v>
      </c>
      <c r="K196">
        <f t="shared" si="30"/>
        <v>3.3112582781456954E-5</v>
      </c>
      <c r="L196" t="str">
        <f t="shared" si="31"/>
        <v/>
      </c>
      <c r="N196" t="str">
        <f t="shared" si="32"/>
        <v>minimal effect</v>
      </c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</row>
    <row r="197" spans="1:31">
      <c r="A197" s="15" t="s">
        <v>8</v>
      </c>
      <c r="B197">
        <v>0.625</v>
      </c>
      <c r="C197">
        <v>0.2</v>
      </c>
      <c r="D197" s="2" t="s">
        <v>14</v>
      </c>
      <c r="E197">
        <v>0</v>
      </c>
      <c r="F197">
        <v>0.44054060790629801</v>
      </c>
      <c r="G197" s="2"/>
      <c r="H197" s="2">
        <f t="shared" si="34"/>
        <v>302</v>
      </c>
      <c r="I197">
        <f t="shared" si="33"/>
        <v>1.6556291390728477E-4</v>
      </c>
      <c r="J197" t="str">
        <f t="shared" si="29"/>
        <v>yes</v>
      </c>
      <c r="K197">
        <f t="shared" si="30"/>
        <v>3.3112582781456954E-5</v>
      </c>
      <c r="L197" t="str">
        <f t="shared" si="31"/>
        <v>yes!</v>
      </c>
      <c r="N197" t="str">
        <f t="shared" si="32"/>
        <v>large</v>
      </c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</row>
    <row r="198" spans="1:31">
      <c r="A198" s="15" t="s">
        <v>8</v>
      </c>
      <c r="B198">
        <v>0.625</v>
      </c>
      <c r="C198">
        <v>0.3</v>
      </c>
      <c r="D198" s="2" t="s">
        <v>14</v>
      </c>
      <c r="E198">
        <v>0</v>
      </c>
      <c r="F198">
        <v>0.400153120327776</v>
      </c>
      <c r="G198" s="2"/>
      <c r="H198" s="2">
        <f t="shared" si="34"/>
        <v>302</v>
      </c>
      <c r="I198">
        <f t="shared" si="33"/>
        <v>1.6556291390728477E-4</v>
      </c>
      <c r="J198" t="str">
        <f t="shared" ref="J198:J205" si="35">IF(E198&lt;I198,"yes","no")</f>
        <v>yes</v>
      </c>
      <c r="K198">
        <f t="shared" ref="K198:K205" si="36">0.01/H198</f>
        <v>3.3112582781456954E-5</v>
      </c>
      <c r="L198" t="str">
        <f t="shared" ref="L198:L205" si="37">IF(E198&lt;K198,"yes!","")</f>
        <v>yes!</v>
      </c>
      <c r="N198" t="str">
        <f t="shared" ref="N198:N205" si="38">IF(ABS(F198)&lt;0.11,"minimal effect",IF(ABS(F198)&lt;0.28,"small",IF(ABS(F198)&lt;0.43,"medium","large")))</f>
        <v>medium</v>
      </c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</row>
    <row r="199" spans="1:31">
      <c r="A199" s="15" t="s">
        <v>8</v>
      </c>
      <c r="B199">
        <v>0.625</v>
      </c>
      <c r="C199">
        <v>0.4</v>
      </c>
      <c r="D199" s="2" t="s">
        <v>14</v>
      </c>
      <c r="E199" s="21">
        <v>1.5910592122448701E-16</v>
      </c>
      <c r="F199">
        <v>1.9804829144173801E-2</v>
      </c>
      <c r="G199" s="2"/>
      <c r="H199" s="2">
        <f t="shared" si="34"/>
        <v>302</v>
      </c>
      <c r="I199">
        <f t="shared" si="33"/>
        <v>1.6556291390728477E-4</v>
      </c>
      <c r="J199" t="str">
        <f t="shared" si="35"/>
        <v>yes</v>
      </c>
      <c r="K199">
        <f t="shared" si="36"/>
        <v>3.3112582781456954E-5</v>
      </c>
      <c r="L199" t="str">
        <f t="shared" si="37"/>
        <v>yes!</v>
      </c>
      <c r="N199" t="str">
        <f t="shared" si="38"/>
        <v>minimal effect</v>
      </c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</row>
    <row r="200" spans="1:31">
      <c r="A200" s="15" t="s">
        <v>8</v>
      </c>
      <c r="B200">
        <v>0.625</v>
      </c>
      <c r="C200">
        <v>0.5</v>
      </c>
      <c r="D200" s="2" t="s">
        <v>14</v>
      </c>
      <c r="E200" s="21">
        <v>8.69221238930196E-20</v>
      </c>
      <c r="F200">
        <v>1.9543817482986999E-2</v>
      </c>
      <c r="G200" s="2"/>
      <c r="H200" s="2">
        <f t="shared" si="34"/>
        <v>302</v>
      </c>
      <c r="I200">
        <f t="shared" si="33"/>
        <v>1.6556291390728477E-4</v>
      </c>
      <c r="J200" t="str">
        <f t="shared" si="35"/>
        <v>yes</v>
      </c>
      <c r="K200">
        <f t="shared" si="36"/>
        <v>3.3112582781456954E-5</v>
      </c>
      <c r="L200" t="str">
        <f t="shared" si="37"/>
        <v>yes!</v>
      </c>
      <c r="N200" t="str">
        <f t="shared" si="38"/>
        <v>minimal effect</v>
      </c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</row>
    <row r="201" spans="1:31">
      <c r="A201" s="15" t="s">
        <v>8</v>
      </c>
      <c r="B201">
        <v>0.625</v>
      </c>
      <c r="C201">
        <v>0.6</v>
      </c>
      <c r="D201" s="2" t="s">
        <v>14</v>
      </c>
      <c r="E201">
        <v>0.37485587042956098</v>
      </c>
      <c r="F201">
        <v>-1.74275555248462E-3</v>
      </c>
      <c r="G201" s="2"/>
      <c r="H201" s="2">
        <f t="shared" si="34"/>
        <v>302</v>
      </c>
      <c r="I201">
        <f t="shared" si="33"/>
        <v>1.6556291390728477E-4</v>
      </c>
      <c r="J201" t="str">
        <f t="shared" si="35"/>
        <v>no</v>
      </c>
      <c r="K201">
        <f t="shared" si="36"/>
        <v>3.3112582781456954E-5</v>
      </c>
      <c r="L201" t="str">
        <f t="shared" si="37"/>
        <v/>
      </c>
      <c r="N201" t="str">
        <f t="shared" si="38"/>
        <v>minimal effect</v>
      </c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</row>
    <row r="202" spans="1:31">
      <c r="A202" s="15" t="s">
        <v>8</v>
      </c>
      <c r="B202">
        <v>0.625</v>
      </c>
      <c r="C202">
        <v>0.7</v>
      </c>
      <c r="D202" s="2" t="s">
        <v>14</v>
      </c>
      <c r="E202">
        <v>1.8356911042281901E-3</v>
      </c>
      <c r="F202">
        <v>5.6655523258132201E-3</v>
      </c>
      <c r="G202" s="2"/>
      <c r="H202" s="2">
        <f t="shared" si="34"/>
        <v>302</v>
      </c>
      <c r="I202">
        <f t="shared" si="33"/>
        <v>1.6556291390728477E-4</v>
      </c>
      <c r="J202" t="str">
        <f t="shared" si="35"/>
        <v>no</v>
      </c>
      <c r="K202">
        <f t="shared" si="36"/>
        <v>3.3112582781456954E-5</v>
      </c>
      <c r="L202" t="str">
        <f t="shared" si="37"/>
        <v/>
      </c>
      <c r="N202" t="str">
        <f t="shared" si="38"/>
        <v>minimal effect</v>
      </c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</row>
    <row r="203" spans="1:31">
      <c r="A203" s="15" t="s">
        <v>8</v>
      </c>
      <c r="B203">
        <v>0.625</v>
      </c>
      <c r="C203">
        <v>0.8</v>
      </c>
      <c r="D203" s="2" t="s">
        <v>14</v>
      </c>
      <c r="E203">
        <v>0.81022659671171304</v>
      </c>
      <c r="F203" s="21">
        <v>-4.0792879106305599E-4</v>
      </c>
      <c r="G203" s="2"/>
      <c r="H203" s="2">
        <f t="shared" si="34"/>
        <v>302</v>
      </c>
      <c r="I203">
        <f t="shared" si="33"/>
        <v>1.6556291390728477E-4</v>
      </c>
      <c r="J203" t="str">
        <f t="shared" si="35"/>
        <v>no</v>
      </c>
      <c r="K203">
        <f t="shared" si="36"/>
        <v>3.3112582781456954E-5</v>
      </c>
      <c r="L203" t="str">
        <f t="shared" si="37"/>
        <v/>
      </c>
      <c r="N203" t="str">
        <f t="shared" si="38"/>
        <v>minimal effect</v>
      </c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</row>
    <row r="204" spans="1:31">
      <c r="A204" s="15" t="s">
        <v>8</v>
      </c>
      <c r="B204">
        <v>0.625</v>
      </c>
      <c r="C204">
        <v>0.9</v>
      </c>
      <c r="D204" s="2" t="s">
        <v>14</v>
      </c>
      <c r="E204">
        <v>6.9361497855852106E-2</v>
      </c>
      <c r="F204">
        <v>2.9105833070633301E-3</v>
      </c>
      <c r="G204" s="2"/>
      <c r="H204" s="2">
        <f t="shared" si="34"/>
        <v>302</v>
      </c>
      <c r="I204">
        <f t="shared" si="33"/>
        <v>1.6556291390728477E-4</v>
      </c>
      <c r="J204" t="str">
        <f t="shared" si="35"/>
        <v>no</v>
      </c>
      <c r="K204">
        <f t="shared" si="36"/>
        <v>3.3112582781456954E-5</v>
      </c>
      <c r="L204" t="str">
        <f t="shared" si="37"/>
        <v/>
      </c>
      <c r="N204" t="str">
        <f t="shared" si="38"/>
        <v>minimal effect</v>
      </c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</row>
    <row r="205" spans="1:31">
      <c r="A205" s="15" t="s">
        <v>8</v>
      </c>
      <c r="B205">
        <v>0.625</v>
      </c>
      <c r="C205">
        <v>1</v>
      </c>
      <c r="D205" s="2" t="s">
        <v>14</v>
      </c>
      <c r="E205" s="21">
        <v>7.9582412296348601E-7</v>
      </c>
      <c r="F205">
        <v>7.5049009646364004E-3</v>
      </c>
      <c r="G205" s="2"/>
      <c r="H205" s="2">
        <f t="shared" si="34"/>
        <v>302</v>
      </c>
      <c r="I205">
        <f t="shared" si="33"/>
        <v>1.6556291390728477E-4</v>
      </c>
      <c r="J205" t="str">
        <f t="shared" si="35"/>
        <v>yes</v>
      </c>
      <c r="K205">
        <f t="shared" si="36"/>
        <v>3.3112582781456954E-5</v>
      </c>
      <c r="L205" t="str">
        <f t="shared" si="37"/>
        <v>yes!</v>
      </c>
      <c r="N205" t="str">
        <f t="shared" si="38"/>
        <v>minimal effect</v>
      </c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</row>
    <row r="206" spans="1:31">
      <c r="A206" s="8" t="s">
        <v>9</v>
      </c>
      <c r="B206" s="4">
        <v>0.375</v>
      </c>
      <c r="C206" s="4">
        <v>0</v>
      </c>
      <c r="D206" s="4" t="s">
        <v>14</v>
      </c>
      <c r="E206" s="4">
        <v>0.202364676692043</v>
      </c>
      <c r="F206" s="4">
        <v>-8.9552679388108201E-3</v>
      </c>
      <c r="G206" s="4"/>
      <c r="H206" s="4">
        <f t="shared" si="34"/>
        <v>302</v>
      </c>
      <c r="I206" s="6">
        <f t="shared" ref="I206:I225" si="39">0.05/H206</f>
        <v>1.6556291390728477E-4</v>
      </c>
      <c r="J206" s="6" t="str">
        <f t="shared" ref="J206:J252" si="40">IF(E206&lt;I206,"yes","no")</f>
        <v>no</v>
      </c>
      <c r="K206" s="6">
        <f t="shared" ref="K206:K225" si="41">0.01/H206</f>
        <v>3.3112582781456954E-5</v>
      </c>
      <c r="L206" s="6" t="str">
        <f t="shared" ref="L206:L252" si="42">IF(E206&lt;K206,"yes!","")</f>
        <v/>
      </c>
      <c r="M206" s="6"/>
      <c r="N206" s="6" t="str">
        <f t="shared" ref="N206:N225" si="43">IF(ABS(F206)&lt;0.11,"minimal effect",IF(ABS(F206)&lt;0.28,"small",IF(ABS(F206)&lt;0.43,"medium","large")))</f>
        <v>minimal effect</v>
      </c>
      <c r="O206" s="6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</row>
    <row r="207" spans="1:31">
      <c r="A207" s="16" t="s">
        <v>9</v>
      </c>
      <c r="B207" s="2">
        <v>0.375</v>
      </c>
      <c r="C207" s="2">
        <v>0.1</v>
      </c>
      <c r="D207" s="2" t="s">
        <v>14</v>
      </c>
      <c r="E207" s="2">
        <v>6.7264639021363495E-2</v>
      </c>
      <c r="F207" s="2">
        <v>8.8990372606424801E-3</v>
      </c>
      <c r="G207" s="2"/>
      <c r="H207" s="2">
        <f t="shared" si="34"/>
        <v>302</v>
      </c>
      <c r="I207">
        <f t="shared" si="39"/>
        <v>1.6556291390728477E-4</v>
      </c>
      <c r="J207" t="str">
        <f t="shared" si="40"/>
        <v>no</v>
      </c>
      <c r="K207">
        <f t="shared" si="41"/>
        <v>3.3112582781456954E-5</v>
      </c>
      <c r="L207" t="str">
        <f t="shared" si="42"/>
        <v/>
      </c>
      <c r="N207" t="str">
        <f t="shared" si="43"/>
        <v>minimal effect</v>
      </c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</row>
    <row r="208" spans="1:31">
      <c r="A208" s="16" t="s">
        <v>9</v>
      </c>
      <c r="B208" s="2">
        <v>0.375</v>
      </c>
      <c r="C208" s="2">
        <v>0.2</v>
      </c>
      <c r="D208" s="2" t="s">
        <v>14</v>
      </c>
      <c r="E208" s="2">
        <v>0.26167021432913301</v>
      </c>
      <c r="F208" s="2">
        <v>-2.2130879095113602E-3</v>
      </c>
      <c r="G208" s="2"/>
      <c r="H208" s="2">
        <f t="shared" si="34"/>
        <v>302</v>
      </c>
      <c r="I208">
        <f t="shared" si="39"/>
        <v>1.6556291390728477E-4</v>
      </c>
      <c r="J208" t="str">
        <f t="shared" si="40"/>
        <v>no</v>
      </c>
      <c r="K208">
        <f t="shared" si="41"/>
        <v>3.3112582781456954E-5</v>
      </c>
      <c r="L208" t="str">
        <f t="shared" si="42"/>
        <v/>
      </c>
      <c r="N208" t="str">
        <f t="shared" si="43"/>
        <v>minimal effect</v>
      </c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</row>
    <row r="209" spans="1:31">
      <c r="A209" s="16" t="s">
        <v>9</v>
      </c>
      <c r="B209" s="2">
        <v>0.375</v>
      </c>
      <c r="C209" s="2">
        <v>0.3</v>
      </c>
      <c r="D209" s="2" t="s">
        <v>14</v>
      </c>
      <c r="E209" s="2">
        <v>0</v>
      </c>
      <c r="F209" s="2">
        <v>-0.24271695611278599</v>
      </c>
      <c r="G209" s="2"/>
      <c r="H209" s="2">
        <f t="shared" si="34"/>
        <v>302</v>
      </c>
      <c r="I209">
        <f t="shared" si="39"/>
        <v>1.6556291390728477E-4</v>
      </c>
      <c r="J209" t="str">
        <f t="shared" si="40"/>
        <v>yes</v>
      </c>
      <c r="K209">
        <f t="shared" si="41"/>
        <v>3.3112582781456954E-5</v>
      </c>
      <c r="L209" t="str">
        <f t="shared" si="42"/>
        <v>yes!</v>
      </c>
      <c r="N209" t="str">
        <f t="shared" si="43"/>
        <v>small</v>
      </c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</row>
    <row r="210" spans="1:31">
      <c r="A210" s="16" t="s">
        <v>9</v>
      </c>
      <c r="B210" s="2">
        <v>0.375</v>
      </c>
      <c r="C210" s="2">
        <v>0.4</v>
      </c>
      <c r="D210" s="2" t="s">
        <v>14</v>
      </c>
      <c r="E210" s="3">
        <v>3.5416511413952799E-225</v>
      </c>
      <c r="F210" s="2">
        <v>-0.17857937984453401</v>
      </c>
      <c r="G210" s="2"/>
      <c r="H210" s="2">
        <f t="shared" si="34"/>
        <v>302</v>
      </c>
      <c r="I210">
        <f t="shared" si="39"/>
        <v>1.6556291390728477E-4</v>
      </c>
      <c r="J210" t="str">
        <f t="shared" si="40"/>
        <v>yes</v>
      </c>
      <c r="K210">
        <f t="shared" si="41"/>
        <v>3.3112582781456954E-5</v>
      </c>
      <c r="L210" t="str">
        <f t="shared" si="42"/>
        <v>yes!</v>
      </c>
      <c r="N210" t="str">
        <f t="shared" si="43"/>
        <v>small</v>
      </c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</row>
    <row r="211" spans="1:31">
      <c r="A211" s="16" t="s">
        <v>9</v>
      </c>
      <c r="B211" s="2">
        <v>0.4375</v>
      </c>
      <c r="C211" s="2">
        <v>0</v>
      </c>
      <c r="D211" s="2" t="s">
        <v>14</v>
      </c>
      <c r="E211" s="2">
        <v>0.43081351242902699</v>
      </c>
      <c r="F211" s="2">
        <v>-1.2457517628152101E-3</v>
      </c>
      <c r="G211" s="2"/>
      <c r="H211" s="2">
        <f t="shared" si="34"/>
        <v>302</v>
      </c>
      <c r="I211">
        <f t="shared" si="39"/>
        <v>1.6556291390728477E-4</v>
      </c>
      <c r="J211" t="str">
        <f t="shared" si="40"/>
        <v>no</v>
      </c>
      <c r="K211">
        <f t="shared" si="41"/>
        <v>3.3112582781456954E-5</v>
      </c>
      <c r="L211" t="str">
        <f t="shared" si="42"/>
        <v/>
      </c>
      <c r="N211" t="str">
        <f t="shared" si="43"/>
        <v>minimal effect</v>
      </c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</row>
    <row r="212" spans="1:31">
      <c r="A212" s="16" t="s">
        <v>9</v>
      </c>
      <c r="B212" s="2">
        <v>0.4375</v>
      </c>
      <c r="C212" s="2">
        <v>0.1</v>
      </c>
      <c r="D212" s="2" t="s">
        <v>14</v>
      </c>
      <c r="E212" s="2">
        <v>0.41103760888885699</v>
      </c>
      <c r="F212" s="2">
        <v>1.29165571921984E-3</v>
      </c>
      <c r="G212" s="2"/>
      <c r="H212" s="2">
        <f t="shared" si="34"/>
        <v>302</v>
      </c>
      <c r="I212">
        <f t="shared" si="39"/>
        <v>1.6556291390728477E-4</v>
      </c>
      <c r="J212" t="str">
        <f t="shared" si="40"/>
        <v>no</v>
      </c>
      <c r="K212">
        <f t="shared" si="41"/>
        <v>3.3112582781456954E-5</v>
      </c>
      <c r="L212" t="str">
        <f t="shared" si="42"/>
        <v/>
      </c>
      <c r="N212" t="str">
        <f t="shared" si="43"/>
        <v>minimal effect</v>
      </c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</row>
    <row r="213" spans="1:31">
      <c r="A213" s="16" t="s">
        <v>9</v>
      </c>
      <c r="B213" s="2">
        <v>0.4375</v>
      </c>
      <c r="C213" s="2">
        <v>0.2</v>
      </c>
      <c r="D213" s="2" t="s">
        <v>14</v>
      </c>
      <c r="E213" s="2">
        <v>0</v>
      </c>
      <c r="F213" s="2">
        <v>-0.233621789578738</v>
      </c>
      <c r="G213" s="2"/>
      <c r="H213" s="2">
        <f t="shared" si="34"/>
        <v>302</v>
      </c>
      <c r="I213">
        <f t="shared" si="39"/>
        <v>1.6556291390728477E-4</v>
      </c>
      <c r="J213" t="str">
        <f t="shared" si="40"/>
        <v>yes</v>
      </c>
      <c r="K213">
        <f t="shared" si="41"/>
        <v>3.3112582781456954E-5</v>
      </c>
      <c r="L213" t="str">
        <f t="shared" si="42"/>
        <v>yes!</v>
      </c>
      <c r="N213" t="str">
        <f t="shared" si="43"/>
        <v>small</v>
      </c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</row>
    <row r="214" spans="1:31">
      <c r="A214" s="16" t="s">
        <v>9</v>
      </c>
      <c r="B214" s="2">
        <v>0.4375</v>
      </c>
      <c r="C214" s="2">
        <v>0.3</v>
      </c>
      <c r="D214" s="2" t="s">
        <v>14</v>
      </c>
      <c r="E214" s="2">
        <v>0</v>
      </c>
      <c r="F214" s="2">
        <v>-0.12243883525898799</v>
      </c>
      <c r="G214" s="2"/>
      <c r="H214" s="2">
        <f t="shared" si="34"/>
        <v>302</v>
      </c>
      <c r="I214">
        <f t="shared" si="39"/>
        <v>1.6556291390728477E-4</v>
      </c>
      <c r="J214" t="str">
        <f t="shared" si="40"/>
        <v>yes</v>
      </c>
      <c r="K214">
        <f t="shared" si="41"/>
        <v>3.3112582781456954E-5</v>
      </c>
      <c r="L214" t="str">
        <f t="shared" si="42"/>
        <v>yes!</v>
      </c>
      <c r="N214" t="str">
        <f t="shared" si="43"/>
        <v>small</v>
      </c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</row>
    <row r="215" spans="1:31">
      <c r="A215" s="16" t="s">
        <v>9</v>
      </c>
      <c r="B215" s="2">
        <v>0.4375</v>
      </c>
      <c r="C215" s="2">
        <v>0.4</v>
      </c>
      <c r="D215" s="2" t="s">
        <v>14</v>
      </c>
      <c r="E215" s="3">
        <v>3.9010176504984699E-146</v>
      </c>
      <c r="F215" s="2">
        <v>-6.4743074838210402E-2</v>
      </c>
      <c r="G215" s="2"/>
      <c r="H215" s="2">
        <f t="shared" si="34"/>
        <v>302</v>
      </c>
      <c r="I215">
        <f t="shared" si="39"/>
        <v>1.6556291390728477E-4</v>
      </c>
      <c r="J215" t="str">
        <f t="shared" si="40"/>
        <v>yes</v>
      </c>
      <c r="K215">
        <f t="shared" si="41"/>
        <v>3.3112582781456954E-5</v>
      </c>
      <c r="L215" t="str">
        <f t="shared" si="42"/>
        <v>yes!</v>
      </c>
      <c r="N215" t="str">
        <f t="shared" si="43"/>
        <v>minimal effect</v>
      </c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</row>
    <row r="216" spans="1:31">
      <c r="A216" s="16" t="s">
        <v>9</v>
      </c>
      <c r="B216" s="2">
        <v>0.5</v>
      </c>
      <c r="C216" s="2">
        <v>0</v>
      </c>
      <c r="D216" s="2" t="s">
        <v>14</v>
      </c>
      <c r="E216" s="2">
        <v>0.54717802767958401</v>
      </c>
      <c r="F216" s="3">
        <v>9.2989353480092804E-4</v>
      </c>
      <c r="G216" s="2"/>
      <c r="H216" s="2">
        <f t="shared" si="34"/>
        <v>302</v>
      </c>
      <c r="I216">
        <f t="shared" si="39"/>
        <v>1.6556291390728477E-4</v>
      </c>
      <c r="J216" t="str">
        <f t="shared" si="40"/>
        <v>no</v>
      </c>
      <c r="K216">
        <f t="shared" si="41"/>
        <v>3.3112582781456954E-5</v>
      </c>
      <c r="L216" t="str">
        <f t="shared" si="42"/>
        <v/>
      </c>
      <c r="N216" t="str">
        <f t="shared" si="43"/>
        <v>minimal effect</v>
      </c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</row>
    <row r="217" spans="1:31">
      <c r="A217" s="16" t="s">
        <v>9</v>
      </c>
      <c r="B217" s="2">
        <v>0.5</v>
      </c>
      <c r="C217" s="2">
        <v>0.1</v>
      </c>
      <c r="D217" s="2" t="s">
        <v>14</v>
      </c>
      <c r="E217" s="2">
        <v>0.23457258573023701</v>
      </c>
      <c r="F217" s="2">
        <v>1.82806623814798E-3</v>
      </c>
      <c r="G217" s="2"/>
      <c r="H217" s="2">
        <f t="shared" si="34"/>
        <v>302</v>
      </c>
      <c r="I217">
        <f t="shared" si="39"/>
        <v>1.6556291390728477E-4</v>
      </c>
      <c r="J217" t="str">
        <f t="shared" si="40"/>
        <v>no</v>
      </c>
      <c r="K217">
        <f t="shared" si="41"/>
        <v>3.3112582781456954E-5</v>
      </c>
      <c r="L217" t="str">
        <f t="shared" si="42"/>
        <v/>
      </c>
      <c r="N217" t="str">
        <f t="shared" si="43"/>
        <v>minimal effect</v>
      </c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</row>
    <row r="218" spans="1:31">
      <c r="A218" s="16" t="s">
        <v>9</v>
      </c>
      <c r="B218" s="2">
        <v>0.5</v>
      </c>
      <c r="C218" s="2">
        <v>0.2</v>
      </c>
      <c r="D218" s="2" t="s">
        <v>14</v>
      </c>
      <c r="E218" s="2">
        <v>0</v>
      </c>
      <c r="F218" s="2">
        <v>-0.17421848156705</v>
      </c>
      <c r="G218" s="2"/>
      <c r="H218" s="2">
        <f t="shared" si="34"/>
        <v>302</v>
      </c>
      <c r="I218">
        <f t="shared" si="39"/>
        <v>1.6556291390728477E-4</v>
      </c>
      <c r="J218" t="str">
        <f t="shared" si="40"/>
        <v>yes</v>
      </c>
      <c r="K218">
        <f t="shared" si="41"/>
        <v>3.3112582781456954E-5</v>
      </c>
      <c r="L218" t="str">
        <f t="shared" si="42"/>
        <v>yes!</v>
      </c>
      <c r="N218" t="str">
        <f t="shared" si="43"/>
        <v>small</v>
      </c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</row>
    <row r="219" spans="1:31">
      <c r="A219" s="16" t="s">
        <v>9</v>
      </c>
      <c r="B219" s="2">
        <v>0.5</v>
      </c>
      <c r="C219" s="2">
        <v>0.3</v>
      </c>
      <c r="D219" s="2" t="s">
        <v>14</v>
      </c>
      <c r="E219" s="3">
        <v>2.13492011712456E-213</v>
      </c>
      <c r="F219" s="2">
        <v>-5.7052947737104898E-2</v>
      </c>
      <c r="G219" s="2"/>
      <c r="H219" s="2">
        <f t="shared" si="34"/>
        <v>302</v>
      </c>
      <c r="I219">
        <f t="shared" si="39"/>
        <v>1.6556291390728477E-4</v>
      </c>
      <c r="J219" t="str">
        <f t="shared" si="40"/>
        <v>yes</v>
      </c>
      <c r="K219">
        <f t="shared" si="41"/>
        <v>3.3112582781456954E-5</v>
      </c>
      <c r="L219" t="str">
        <f t="shared" si="42"/>
        <v>yes!</v>
      </c>
      <c r="N219" t="str">
        <f t="shared" si="43"/>
        <v>minimal effect</v>
      </c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</row>
    <row r="220" spans="1:31">
      <c r="A220" s="16" t="s">
        <v>9</v>
      </c>
      <c r="B220" s="2">
        <v>0.5</v>
      </c>
      <c r="C220" s="2">
        <v>0.4</v>
      </c>
      <c r="D220" s="2" t="s">
        <v>14</v>
      </c>
      <c r="E220" s="2">
        <v>0.38265746963323199</v>
      </c>
      <c r="F220" s="2">
        <v>-1.95231819641275E-3</v>
      </c>
      <c r="G220" s="2"/>
      <c r="H220" s="2">
        <f t="shared" si="34"/>
        <v>302</v>
      </c>
      <c r="I220">
        <f t="shared" si="39"/>
        <v>1.6556291390728477E-4</v>
      </c>
      <c r="J220" t="str">
        <f t="shared" si="40"/>
        <v>no</v>
      </c>
      <c r="K220">
        <f t="shared" si="41"/>
        <v>3.3112582781456954E-5</v>
      </c>
      <c r="L220" t="str">
        <f t="shared" si="42"/>
        <v/>
      </c>
      <c r="N220" t="str">
        <f t="shared" si="43"/>
        <v>minimal effect</v>
      </c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</row>
    <row r="221" spans="1:31">
      <c r="A221" s="16" t="s">
        <v>9</v>
      </c>
      <c r="B221" s="2">
        <v>0.5625</v>
      </c>
      <c r="C221" s="2">
        <v>0</v>
      </c>
      <c r="D221" s="2" t="s">
        <v>14</v>
      </c>
      <c r="E221" s="2">
        <v>0.199439481493426</v>
      </c>
      <c r="F221" s="2">
        <v>-1.9628976887515401E-3</v>
      </c>
      <c r="G221" s="2"/>
      <c r="H221" s="2">
        <f t="shared" si="34"/>
        <v>302</v>
      </c>
      <c r="I221">
        <f t="shared" si="39"/>
        <v>1.6556291390728477E-4</v>
      </c>
      <c r="J221" t="str">
        <f t="shared" si="40"/>
        <v>no</v>
      </c>
      <c r="K221">
        <f t="shared" si="41"/>
        <v>3.3112582781456954E-5</v>
      </c>
      <c r="L221" t="str">
        <f t="shared" si="42"/>
        <v/>
      </c>
      <c r="N221" t="str">
        <f t="shared" si="43"/>
        <v>minimal effect</v>
      </c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</row>
    <row r="222" spans="1:31">
      <c r="A222" s="16" t="s">
        <v>9</v>
      </c>
      <c r="B222" s="2">
        <v>0.5625</v>
      </c>
      <c r="C222" s="2">
        <v>0.1</v>
      </c>
      <c r="D222" s="2" t="s">
        <v>14</v>
      </c>
      <c r="E222" s="2">
        <v>0.98974526448459399</v>
      </c>
      <c r="F222" s="3">
        <v>-1.95843929055025E-5</v>
      </c>
      <c r="G222" s="2"/>
      <c r="H222" s="2">
        <f t="shared" si="34"/>
        <v>302</v>
      </c>
      <c r="I222">
        <f t="shared" si="39"/>
        <v>1.6556291390728477E-4</v>
      </c>
      <c r="J222" t="str">
        <f t="shared" si="40"/>
        <v>no</v>
      </c>
      <c r="K222">
        <f t="shared" si="41"/>
        <v>3.3112582781456954E-5</v>
      </c>
      <c r="L222" t="str">
        <f t="shared" si="42"/>
        <v/>
      </c>
      <c r="N222" t="str">
        <f t="shared" si="43"/>
        <v>minimal effect</v>
      </c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</row>
    <row r="223" spans="1:31">
      <c r="A223" s="16" t="s">
        <v>9</v>
      </c>
      <c r="B223" s="2">
        <v>0.5625</v>
      </c>
      <c r="C223" s="2">
        <v>0.2</v>
      </c>
      <c r="D223" s="2" t="s">
        <v>14</v>
      </c>
      <c r="E223" s="3">
        <v>1.5106301586749299E-144</v>
      </c>
      <c r="F223" s="2">
        <v>-5.4373936412389898E-2</v>
      </c>
      <c r="G223" s="2"/>
      <c r="H223" s="2">
        <f t="shared" si="34"/>
        <v>302</v>
      </c>
      <c r="I223">
        <f t="shared" si="39"/>
        <v>1.6556291390728477E-4</v>
      </c>
      <c r="J223" t="str">
        <f t="shared" si="40"/>
        <v>yes</v>
      </c>
      <c r="K223">
        <f t="shared" si="41"/>
        <v>3.3112582781456954E-5</v>
      </c>
      <c r="L223" t="str">
        <f t="shared" si="42"/>
        <v>yes!</v>
      </c>
      <c r="N223" t="str">
        <f t="shared" si="43"/>
        <v>minimal effect</v>
      </c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</row>
    <row r="224" spans="1:31">
      <c r="A224" s="16" t="s">
        <v>9</v>
      </c>
      <c r="B224" s="2">
        <v>0.5625</v>
      </c>
      <c r="C224" s="2">
        <v>0.3</v>
      </c>
      <c r="D224" s="2" t="s">
        <v>14</v>
      </c>
      <c r="E224" s="3">
        <v>3.3220358049840901E-47</v>
      </c>
      <c r="F224" s="2">
        <v>-2.60763170730316E-2</v>
      </c>
      <c r="G224" s="2"/>
      <c r="H224" s="2">
        <f t="shared" si="34"/>
        <v>302</v>
      </c>
      <c r="I224">
        <f t="shared" si="39"/>
        <v>1.6556291390728477E-4</v>
      </c>
      <c r="J224" t="str">
        <f t="shared" si="40"/>
        <v>yes</v>
      </c>
      <c r="K224">
        <f t="shared" si="41"/>
        <v>3.3112582781456954E-5</v>
      </c>
      <c r="L224" t="str">
        <f t="shared" si="42"/>
        <v>yes!</v>
      </c>
      <c r="N224" t="str">
        <f t="shared" si="43"/>
        <v>minimal effect</v>
      </c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</row>
    <row r="225" spans="1:31">
      <c r="A225" s="16" t="s">
        <v>9</v>
      </c>
      <c r="B225" s="2">
        <v>0.5625</v>
      </c>
      <c r="C225" s="2">
        <v>0.4</v>
      </c>
      <c r="D225" s="2" t="s">
        <v>14</v>
      </c>
      <c r="E225" s="3">
        <v>1.3950249166718401E-18</v>
      </c>
      <c r="F225" s="2">
        <v>1.8734498065243702E-2</v>
      </c>
      <c r="G225" s="2"/>
      <c r="H225" s="2">
        <f t="shared" si="34"/>
        <v>302</v>
      </c>
      <c r="I225">
        <f t="shared" si="39"/>
        <v>1.6556291390728477E-4</v>
      </c>
      <c r="J225" t="str">
        <f t="shared" si="40"/>
        <v>yes</v>
      </c>
      <c r="K225">
        <f t="shared" si="41"/>
        <v>3.3112582781456954E-5</v>
      </c>
      <c r="L225" t="str">
        <f t="shared" si="42"/>
        <v>yes!</v>
      </c>
      <c r="N225" t="str">
        <f t="shared" si="43"/>
        <v>minimal effect</v>
      </c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</row>
    <row r="226" spans="1:31">
      <c r="A226" s="16" t="s">
        <v>9</v>
      </c>
      <c r="B226" s="2">
        <v>0.5625</v>
      </c>
      <c r="C226" s="2">
        <v>0.5</v>
      </c>
      <c r="D226" s="2" t="s">
        <v>14</v>
      </c>
      <c r="E226" s="3">
        <v>3.5537936823720702E-11</v>
      </c>
      <c r="F226" s="2">
        <v>4.3194505552847803E-2</v>
      </c>
      <c r="G226" s="2"/>
      <c r="H226" s="2">
        <f t="shared" si="34"/>
        <v>302</v>
      </c>
      <c r="I226">
        <f t="shared" ref="I226:I289" si="44">0.05/H226</f>
        <v>1.6556291390728477E-4</v>
      </c>
      <c r="J226" t="str">
        <f t="shared" si="40"/>
        <v>yes</v>
      </c>
      <c r="K226">
        <f t="shared" ref="K226:K249" si="45">0.01/H226</f>
        <v>3.3112582781456954E-5</v>
      </c>
      <c r="L226" t="str">
        <f t="shared" si="42"/>
        <v>yes!</v>
      </c>
      <c r="N226" t="str">
        <f t="shared" ref="N226:N249" si="46">IF(ABS(F226)&lt;0.11,"minimal effect",IF(ABS(F226)&lt;0.28,"small",IF(ABS(F226)&lt;0.43,"medium","large")))</f>
        <v>minimal effect</v>
      </c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</row>
    <row r="227" spans="1:31">
      <c r="A227" s="16" t="s">
        <v>9</v>
      </c>
      <c r="B227" s="2">
        <v>0.625</v>
      </c>
      <c r="C227" s="2">
        <v>0</v>
      </c>
      <c r="D227" s="2" t="s">
        <v>14</v>
      </c>
      <c r="E227" s="2">
        <v>0.57885453413625798</v>
      </c>
      <c r="F227" s="3">
        <v>8.4498523824805098E-4</v>
      </c>
      <c r="G227" s="2"/>
      <c r="H227" s="2">
        <f t="shared" si="34"/>
        <v>302</v>
      </c>
      <c r="I227">
        <f t="shared" si="44"/>
        <v>1.6556291390728477E-4</v>
      </c>
      <c r="J227" t="str">
        <f t="shared" si="40"/>
        <v>no</v>
      </c>
      <c r="K227">
        <f t="shared" si="45"/>
        <v>3.3112582781456954E-5</v>
      </c>
      <c r="L227" t="str">
        <f t="shared" si="42"/>
        <v/>
      </c>
      <c r="N227" t="str">
        <f t="shared" si="46"/>
        <v>minimal effect</v>
      </c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</row>
    <row r="228" spans="1:31">
      <c r="A228" s="16" t="s">
        <v>9</v>
      </c>
      <c r="B228" s="2">
        <v>0.625</v>
      </c>
      <c r="C228" s="2">
        <v>0.1</v>
      </c>
      <c r="D228" s="2" t="s">
        <v>14</v>
      </c>
      <c r="E228" s="2">
        <v>0.99565623767383105</v>
      </c>
      <c r="F228" s="3">
        <v>-8.2581704584850799E-6</v>
      </c>
      <c r="G228" s="2"/>
      <c r="H228" s="2">
        <f t="shared" si="34"/>
        <v>302</v>
      </c>
      <c r="I228">
        <f t="shared" si="44"/>
        <v>1.6556291390728477E-4</v>
      </c>
      <c r="J228" t="str">
        <f t="shared" si="40"/>
        <v>no</v>
      </c>
      <c r="K228">
        <f t="shared" si="45"/>
        <v>3.3112582781456954E-5</v>
      </c>
      <c r="L228" t="str">
        <f t="shared" si="42"/>
        <v/>
      </c>
      <c r="N228" t="str">
        <f t="shared" si="46"/>
        <v>minimal effect</v>
      </c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</row>
    <row r="229" spans="1:31">
      <c r="A229" s="16" t="s">
        <v>9</v>
      </c>
      <c r="B229" s="2">
        <v>0.625</v>
      </c>
      <c r="C229" s="2">
        <v>0.2</v>
      </c>
      <c r="D229" s="2" t="s">
        <v>14</v>
      </c>
      <c r="E229" s="2">
        <v>0.339677084733294</v>
      </c>
      <c r="F229" s="2">
        <v>-2.0826598251134001E-3</v>
      </c>
      <c r="G229" s="2"/>
      <c r="H229" s="2">
        <f t="shared" si="34"/>
        <v>302</v>
      </c>
      <c r="I229">
        <f t="shared" si="44"/>
        <v>1.6556291390728477E-4</v>
      </c>
      <c r="J229" t="str">
        <f t="shared" si="40"/>
        <v>no</v>
      </c>
      <c r="K229">
        <f t="shared" si="45"/>
        <v>3.3112582781456954E-5</v>
      </c>
      <c r="L229" t="str">
        <f t="shared" si="42"/>
        <v/>
      </c>
      <c r="N229" t="str">
        <f t="shared" si="46"/>
        <v>minimal effect</v>
      </c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</row>
    <row r="230" spans="1:31">
      <c r="A230" s="16" t="s">
        <v>9</v>
      </c>
      <c r="B230" s="2">
        <v>0.625</v>
      </c>
      <c r="C230" s="2">
        <v>0.3</v>
      </c>
      <c r="D230" s="2" t="s">
        <v>14</v>
      </c>
      <c r="E230" s="3">
        <v>6.5797325499330703E-16</v>
      </c>
      <c r="F230" s="2">
        <v>-2.44126571927273E-2</v>
      </c>
      <c r="G230" s="2"/>
      <c r="H230" s="2">
        <f t="shared" si="34"/>
        <v>302</v>
      </c>
      <c r="I230">
        <f t="shared" si="44"/>
        <v>1.6556291390728477E-4</v>
      </c>
      <c r="J230" t="str">
        <f t="shared" si="40"/>
        <v>yes</v>
      </c>
      <c r="K230">
        <f t="shared" si="45"/>
        <v>3.3112582781456954E-5</v>
      </c>
      <c r="L230" t="str">
        <f t="shared" si="42"/>
        <v>yes!</v>
      </c>
      <c r="N230" t="str">
        <f t="shared" si="46"/>
        <v>minimal effect</v>
      </c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</row>
    <row r="231" spans="1:31">
      <c r="A231" s="16" t="s">
        <v>9</v>
      </c>
      <c r="B231" s="2">
        <v>0.625</v>
      </c>
      <c r="C231" s="2">
        <v>0.4</v>
      </c>
      <c r="D231" s="2" t="s">
        <v>14</v>
      </c>
      <c r="E231" s="3">
        <v>5.7334260850779501E-24</v>
      </c>
      <c r="F231" s="2">
        <v>2.0993255600676299E-2</v>
      </c>
      <c r="G231" s="2"/>
      <c r="H231" s="2">
        <f t="shared" si="34"/>
        <v>302</v>
      </c>
      <c r="I231">
        <f t="shared" si="44"/>
        <v>1.6556291390728477E-4</v>
      </c>
      <c r="J231" t="str">
        <f t="shared" si="40"/>
        <v>yes</v>
      </c>
      <c r="K231">
        <f t="shared" si="45"/>
        <v>3.3112582781456954E-5</v>
      </c>
      <c r="L231" t="str">
        <f t="shared" si="42"/>
        <v>yes!</v>
      </c>
      <c r="N231" t="str">
        <f t="shared" si="46"/>
        <v>minimal effect</v>
      </c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</row>
    <row r="232" spans="1:31">
      <c r="A232" s="16" t="s">
        <v>9</v>
      </c>
      <c r="B232" s="2">
        <v>0.625</v>
      </c>
      <c r="C232" s="2">
        <v>0.5</v>
      </c>
      <c r="D232" s="2" t="s">
        <v>14</v>
      </c>
      <c r="E232" s="3">
        <v>1.8364192332489401E-25</v>
      </c>
      <c r="F232" s="2">
        <v>4.1848098762766198E-2</v>
      </c>
      <c r="G232" s="2"/>
      <c r="H232" s="2">
        <f t="shared" si="34"/>
        <v>302</v>
      </c>
      <c r="I232">
        <f t="shared" si="44"/>
        <v>1.6556291390728477E-4</v>
      </c>
      <c r="J232" t="str">
        <f t="shared" si="40"/>
        <v>yes</v>
      </c>
      <c r="K232">
        <f t="shared" si="45"/>
        <v>3.3112582781456954E-5</v>
      </c>
      <c r="L232" t="str">
        <f t="shared" si="42"/>
        <v>yes!</v>
      </c>
      <c r="N232" t="str">
        <f t="shared" si="46"/>
        <v>minimal effect</v>
      </c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</row>
    <row r="233" spans="1:31">
      <c r="A233" s="7" t="s">
        <v>5</v>
      </c>
      <c r="B233" s="4">
        <v>0.3125</v>
      </c>
      <c r="C233" s="4">
        <v>0.3</v>
      </c>
      <c r="D233" s="4" t="s">
        <v>14</v>
      </c>
      <c r="E233" s="4">
        <v>0</v>
      </c>
      <c r="F233" s="4">
        <v>-0.774491755</v>
      </c>
      <c r="G233" s="4"/>
      <c r="H233" s="4">
        <f t="shared" si="34"/>
        <v>302</v>
      </c>
      <c r="I233" s="6">
        <f t="shared" si="44"/>
        <v>1.6556291390728477E-4</v>
      </c>
      <c r="J233" s="6" t="str">
        <f t="shared" si="40"/>
        <v>yes</v>
      </c>
      <c r="K233" s="6">
        <f t="shared" si="45"/>
        <v>3.3112582781456954E-5</v>
      </c>
      <c r="L233" s="6" t="str">
        <f t="shared" si="42"/>
        <v>yes!</v>
      </c>
      <c r="M233" s="6"/>
      <c r="N233" s="6" t="str">
        <f t="shared" si="46"/>
        <v>large</v>
      </c>
      <c r="O233" s="6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</row>
    <row r="234" spans="1:31">
      <c r="A234" s="5" t="s">
        <v>5</v>
      </c>
      <c r="B234" s="2">
        <v>0.375</v>
      </c>
      <c r="C234" s="2">
        <v>0.3</v>
      </c>
      <c r="D234" s="2" t="s">
        <v>14</v>
      </c>
      <c r="E234" s="2">
        <v>0</v>
      </c>
      <c r="F234" s="2">
        <v>-0.77060447099999996</v>
      </c>
      <c r="G234" s="2"/>
      <c r="H234" s="2">
        <f t="shared" si="34"/>
        <v>302</v>
      </c>
      <c r="I234">
        <f t="shared" si="44"/>
        <v>1.6556291390728477E-4</v>
      </c>
      <c r="J234" t="str">
        <f t="shared" si="40"/>
        <v>yes</v>
      </c>
      <c r="K234">
        <f t="shared" si="45"/>
        <v>3.3112582781456954E-5</v>
      </c>
      <c r="L234" t="str">
        <f t="shared" si="42"/>
        <v>yes!</v>
      </c>
      <c r="N234" t="str">
        <f t="shared" si="46"/>
        <v>large</v>
      </c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</row>
    <row r="235" spans="1:31">
      <c r="A235" s="5" t="s">
        <v>5</v>
      </c>
      <c r="B235" s="2">
        <v>0.375</v>
      </c>
      <c r="C235" s="2">
        <v>0.4</v>
      </c>
      <c r="D235" s="2" t="s">
        <v>14</v>
      </c>
      <c r="E235" s="2">
        <v>0</v>
      </c>
      <c r="F235" s="2">
        <v>-0.81542380800000003</v>
      </c>
      <c r="G235" s="2"/>
      <c r="H235" s="2">
        <f t="shared" si="34"/>
        <v>302</v>
      </c>
      <c r="I235">
        <f t="shared" si="44"/>
        <v>1.6556291390728477E-4</v>
      </c>
      <c r="J235" t="str">
        <f t="shared" si="40"/>
        <v>yes</v>
      </c>
      <c r="K235">
        <f t="shared" si="45"/>
        <v>3.3112582781456954E-5</v>
      </c>
      <c r="L235" t="str">
        <f t="shared" si="42"/>
        <v>yes!</v>
      </c>
      <c r="N235" t="str">
        <f t="shared" si="46"/>
        <v>large</v>
      </c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</row>
    <row r="236" spans="1:31">
      <c r="A236" s="5" t="s">
        <v>5</v>
      </c>
      <c r="B236" s="2">
        <v>0.4375</v>
      </c>
      <c r="C236" s="26">
        <v>0.2</v>
      </c>
      <c r="D236" s="26" t="s">
        <v>14</v>
      </c>
      <c r="E236" s="27">
        <v>5.4300000000000002E-306</v>
      </c>
      <c r="F236" s="26">
        <v>-0.24193773499999999</v>
      </c>
      <c r="G236" s="2"/>
      <c r="H236" s="2">
        <f t="shared" si="34"/>
        <v>302</v>
      </c>
      <c r="I236">
        <f t="shared" si="44"/>
        <v>1.6556291390728477E-4</v>
      </c>
      <c r="J236" t="str">
        <f t="shared" si="40"/>
        <v>yes</v>
      </c>
      <c r="K236">
        <f t="shared" si="45"/>
        <v>3.3112582781456954E-5</v>
      </c>
      <c r="L236" t="str">
        <f t="shared" si="42"/>
        <v>yes!</v>
      </c>
      <c r="N236" t="str">
        <f t="shared" si="46"/>
        <v>small</v>
      </c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</row>
    <row r="237" spans="1:31">
      <c r="A237" s="5" t="s">
        <v>5</v>
      </c>
      <c r="B237" s="2">
        <v>0.4375</v>
      </c>
      <c r="C237" s="2">
        <v>0.3</v>
      </c>
      <c r="D237" s="2" t="s">
        <v>14</v>
      </c>
      <c r="E237" s="2">
        <v>0</v>
      </c>
      <c r="F237" s="2">
        <v>-0.751060324</v>
      </c>
      <c r="G237" s="2"/>
      <c r="H237" s="2">
        <f t="shared" si="34"/>
        <v>302</v>
      </c>
      <c r="I237">
        <f t="shared" si="44"/>
        <v>1.6556291390728477E-4</v>
      </c>
      <c r="J237" t="str">
        <f t="shared" si="40"/>
        <v>yes</v>
      </c>
      <c r="K237">
        <f t="shared" si="45"/>
        <v>3.3112582781456954E-5</v>
      </c>
      <c r="L237" t="str">
        <f t="shared" si="42"/>
        <v>yes!</v>
      </c>
      <c r="N237" t="str">
        <f t="shared" si="46"/>
        <v>large</v>
      </c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</row>
    <row r="238" spans="1:31">
      <c r="A238" s="5" t="s">
        <v>5</v>
      </c>
      <c r="B238" s="2">
        <v>0.4375</v>
      </c>
      <c r="C238" s="2">
        <v>0.4</v>
      </c>
      <c r="D238" s="2" t="s">
        <v>14</v>
      </c>
      <c r="E238" s="2">
        <v>0</v>
      </c>
      <c r="F238" s="2">
        <v>-0.78712618099999998</v>
      </c>
      <c r="G238" s="2"/>
      <c r="H238" s="2">
        <f t="shared" si="34"/>
        <v>302</v>
      </c>
      <c r="I238">
        <f t="shared" si="44"/>
        <v>1.6556291390728477E-4</v>
      </c>
      <c r="J238" t="str">
        <f t="shared" si="40"/>
        <v>yes</v>
      </c>
      <c r="K238">
        <f t="shared" si="45"/>
        <v>3.3112582781456954E-5</v>
      </c>
      <c r="L238" t="str">
        <f t="shared" si="42"/>
        <v>yes!</v>
      </c>
      <c r="N238" t="str">
        <f t="shared" si="46"/>
        <v>large</v>
      </c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</row>
    <row r="239" spans="1:31">
      <c r="A239" s="5" t="s">
        <v>5</v>
      </c>
      <c r="B239" s="2">
        <v>0.5</v>
      </c>
      <c r="C239" s="26">
        <v>0.2</v>
      </c>
      <c r="D239" s="26" t="s">
        <v>14</v>
      </c>
      <c r="E239" s="27">
        <v>6.9400000000000001E-97</v>
      </c>
      <c r="F239" s="26">
        <v>-0.14997358799999999</v>
      </c>
      <c r="G239" s="2"/>
      <c r="H239" s="2">
        <f t="shared" si="34"/>
        <v>302</v>
      </c>
      <c r="I239">
        <f t="shared" si="44"/>
        <v>1.6556291390728477E-4</v>
      </c>
      <c r="J239" t="str">
        <f t="shared" si="40"/>
        <v>yes</v>
      </c>
      <c r="K239">
        <f t="shared" si="45"/>
        <v>3.3112582781456954E-5</v>
      </c>
      <c r="L239" t="str">
        <f t="shared" si="42"/>
        <v>yes!</v>
      </c>
      <c r="N239" t="str">
        <f t="shared" si="46"/>
        <v>small</v>
      </c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</row>
    <row r="240" spans="1:31">
      <c r="A240" s="5" t="s">
        <v>5</v>
      </c>
      <c r="B240" s="2">
        <v>0.5</v>
      </c>
      <c r="C240" s="2">
        <v>0.3</v>
      </c>
      <c r="D240" s="2" t="s">
        <v>14</v>
      </c>
      <c r="E240" s="2">
        <v>0</v>
      </c>
      <c r="F240" s="2">
        <v>-0.68554048199999995</v>
      </c>
      <c r="G240" s="2"/>
      <c r="H240" s="2">
        <f t="shared" si="34"/>
        <v>302</v>
      </c>
      <c r="I240">
        <f t="shared" si="44"/>
        <v>1.6556291390728477E-4</v>
      </c>
      <c r="J240" t="str">
        <f t="shared" si="40"/>
        <v>yes</v>
      </c>
      <c r="K240">
        <f t="shared" si="45"/>
        <v>3.3112582781456954E-5</v>
      </c>
      <c r="L240" t="str">
        <f t="shared" si="42"/>
        <v>yes!</v>
      </c>
      <c r="N240" t="str">
        <f t="shared" si="46"/>
        <v>large</v>
      </c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</row>
    <row r="241" spans="1:31">
      <c r="A241" s="5" t="s">
        <v>5</v>
      </c>
      <c r="B241" s="2">
        <v>0.5</v>
      </c>
      <c r="C241" s="2">
        <v>0.4</v>
      </c>
      <c r="D241" s="2" t="s">
        <v>14</v>
      </c>
      <c r="E241" s="2">
        <v>0</v>
      </c>
      <c r="F241" s="2">
        <v>-0.73083838599999995</v>
      </c>
      <c r="G241" s="2"/>
      <c r="H241" s="2">
        <f t="shared" si="34"/>
        <v>302</v>
      </c>
      <c r="I241">
        <f t="shared" si="44"/>
        <v>1.6556291390728477E-4</v>
      </c>
      <c r="J241" t="str">
        <f t="shared" si="40"/>
        <v>yes</v>
      </c>
      <c r="K241">
        <f t="shared" si="45"/>
        <v>3.3112582781456954E-5</v>
      </c>
      <c r="L241" t="str">
        <f t="shared" si="42"/>
        <v>yes!</v>
      </c>
      <c r="N241" t="str">
        <f t="shared" si="46"/>
        <v>large</v>
      </c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</row>
    <row r="242" spans="1:31">
      <c r="A242" s="5" t="s">
        <v>5</v>
      </c>
      <c r="B242" s="2">
        <v>0.5625</v>
      </c>
      <c r="C242" s="26">
        <v>0.2</v>
      </c>
      <c r="D242" s="26" t="s">
        <v>14</v>
      </c>
      <c r="E242" s="27">
        <v>2.4199999999999998E-74</v>
      </c>
      <c r="F242" s="26">
        <v>-0.13030388200000001</v>
      </c>
      <c r="G242" s="2"/>
      <c r="H242" s="2">
        <f t="shared" si="34"/>
        <v>302</v>
      </c>
      <c r="I242">
        <f t="shared" si="44"/>
        <v>1.6556291390728477E-4</v>
      </c>
      <c r="J242" t="str">
        <f t="shared" si="40"/>
        <v>yes</v>
      </c>
      <c r="K242">
        <f t="shared" si="45"/>
        <v>3.3112582781456954E-5</v>
      </c>
      <c r="L242" t="str">
        <f t="shared" si="42"/>
        <v>yes!</v>
      </c>
      <c r="N242" t="str">
        <f t="shared" si="46"/>
        <v>small</v>
      </c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</row>
    <row r="243" spans="1:31">
      <c r="A243" s="5" t="s">
        <v>5</v>
      </c>
      <c r="B243" s="2">
        <v>0.5625</v>
      </c>
      <c r="C243" s="2">
        <v>0.3</v>
      </c>
      <c r="D243" s="2" t="s">
        <v>14</v>
      </c>
      <c r="E243" s="2">
        <v>0</v>
      </c>
      <c r="F243" s="2">
        <v>-0.60266982700000005</v>
      </c>
      <c r="G243" s="2"/>
      <c r="H243" s="2">
        <f t="shared" si="34"/>
        <v>302</v>
      </c>
      <c r="I243">
        <f t="shared" si="44"/>
        <v>1.6556291390728477E-4</v>
      </c>
      <c r="J243" t="str">
        <f t="shared" si="40"/>
        <v>yes</v>
      </c>
      <c r="K243">
        <f t="shared" si="45"/>
        <v>3.3112582781456954E-5</v>
      </c>
      <c r="L243" t="str">
        <f t="shared" si="42"/>
        <v>yes!</v>
      </c>
      <c r="N243" t="str">
        <f t="shared" si="46"/>
        <v>large</v>
      </c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</row>
    <row r="244" spans="1:31">
      <c r="A244" s="5" t="s">
        <v>5</v>
      </c>
      <c r="B244" s="2">
        <v>0.5625</v>
      </c>
      <c r="C244" s="2">
        <v>0.4</v>
      </c>
      <c r="D244" s="2" t="s">
        <v>14</v>
      </c>
      <c r="E244" s="2">
        <v>0</v>
      </c>
      <c r="F244" s="2">
        <v>-0.65284937200000004</v>
      </c>
      <c r="G244" s="2"/>
      <c r="H244" s="2">
        <f t="shared" si="34"/>
        <v>302</v>
      </c>
      <c r="I244">
        <f t="shared" si="44"/>
        <v>1.6556291390728477E-4</v>
      </c>
      <c r="J244" t="str">
        <f t="shared" si="40"/>
        <v>yes</v>
      </c>
      <c r="K244">
        <f t="shared" si="45"/>
        <v>3.3112582781456954E-5</v>
      </c>
      <c r="L244" t="str">
        <f t="shared" si="42"/>
        <v>yes!</v>
      </c>
      <c r="N244" t="str">
        <f t="shared" si="46"/>
        <v>large</v>
      </c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</row>
    <row r="245" spans="1:31">
      <c r="A245" s="5" t="s">
        <v>5</v>
      </c>
      <c r="B245" s="2">
        <v>0.5625</v>
      </c>
      <c r="C245" s="2">
        <v>0.5</v>
      </c>
      <c r="D245" s="2" t="s">
        <v>14</v>
      </c>
      <c r="E245" s="2">
        <v>0</v>
      </c>
      <c r="F245" s="2">
        <v>-0.65581519099999996</v>
      </c>
      <c r="G245" s="2"/>
      <c r="H245" s="2">
        <f t="shared" si="34"/>
        <v>302</v>
      </c>
      <c r="I245">
        <f t="shared" si="44"/>
        <v>1.6556291390728477E-4</v>
      </c>
      <c r="J245" t="str">
        <f t="shared" si="40"/>
        <v>yes</v>
      </c>
      <c r="K245">
        <f t="shared" si="45"/>
        <v>3.3112582781456954E-5</v>
      </c>
      <c r="L245" t="str">
        <f t="shared" si="42"/>
        <v>yes!</v>
      </c>
      <c r="N245" t="str">
        <f t="shared" si="46"/>
        <v>large</v>
      </c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</row>
    <row r="246" spans="1:31" ht="14.25" customHeight="1">
      <c r="A246" s="5" t="s">
        <v>5</v>
      </c>
      <c r="B246" s="2">
        <v>0.625</v>
      </c>
      <c r="C246" s="26">
        <v>0.2</v>
      </c>
      <c r="D246" s="26" t="s">
        <v>14</v>
      </c>
      <c r="E246" s="27">
        <v>2.5600000000000001E-44</v>
      </c>
      <c r="F246" s="26">
        <v>-0.10239830900000001</v>
      </c>
      <c r="G246" s="2"/>
      <c r="H246" s="2">
        <f t="shared" si="34"/>
        <v>302</v>
      </c>
      <c r="I246">
        <f t="shared" si="44"/>
        <v>1.6556291390728477E-4</v>
      </c>
      <c r="J246" t="str">
        <f t="shared" si="40"/>
        <v>yes</v>
      </c>
      <c r="K246">
        <f t="shared" si="45"/>
        <v>3.3112582781456954E-5</v>
      </c>
      <c r="L246" t="str">
        <f t="shared" si="42"/>
        <v>yes!</v>
      </c>
      <c r="N246" t="str">
        <f t="shared" si="46"/>
        <v>minimal effect</v>
      </c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</row>
    <row r="247" spans="1:31">
      <c r="A247" s="5" t="s">
        <v>5</v>
      </c>
      <c r="B247" s="2">
        <v>0.625</v>
      </c>
      <c r="C247" s="28">
        <v>0.3</v>
      </c>
      <c r="D247" s="28" t="s">
        <v>14</v>
      </c>
      <c r="E247" s="29">
        <v>3.6699999999999999E-204</v>
      </c>
      <c r="F247" s="28">
        <v>-0.15274811099999999</v>
      </c>
      <c r="G247" s="2"/>
      <c r="H247" s="2">
        <f t="shared" si="34"/>
        <v>302</v>
      </c>
      <c r="I247">
        <f t="shared" si="44"/>
        <v>1.6556291390728477E-4</v>
      </c>
      <c r="J247" t="str">
        <f t="shared" si="40"/>
        <v>yes</v>
      </c>
      <c r="K247">
        <f t="shared" si="45"/>
        <v>3.3112582781456954E-5</v>
      </c>
      <c r="L247" t="str">
        <f t="shared" si="42"/>
        <v>yes!</v>
      </c>
      <c r="N247" t="str">
        <f t="shared" si="46"/>
        <v>small</v>
      </c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</row>
    <row r="248" spans="1:31">
      <c r="A248" s="5" t="s">
        <v>5</v>
      </c>
      <c r="B248" s="2">
        <v>0.625</v>
      </c>
      <c r="C248" s="2">
        <v>0.4</v>
      </c>
      <c r="D248" s="2" t="s">
        <v>14</v>
      </c>
      <c r="E248" s="2">
        <v>0</v>
      </c>
      <c r="F248" s="2">
        <v>-0.54279651200000001</v>
      </c>
      <c r="G248" s="2"/>
      <c r="H248" s="2">
        <f t="shared" si="34"/>
        <v>302</v>
      </c>
      <c r="I248">
        <f t="shared" si="44"/>
        <v>1.6556291390728477E-4</v>
      </c>
      <c r="J248" t="str">
        <f t="shared" si="40"/>
        <v>yes</v>
      </c>
      <c r="K248">
        <f t="shared" si="45"/>
        <v>3.3112582781456954E-5</v>
      </c>
      <c r="L248" t="str">
        <f t="shared" si="42"/>
        <v>yes!</v>
      </c>
      <c r="N248" t="str">
        <f t="shared" si="46"/>
        <v>large</v>
      </c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</row>
    <row r="249" spans="1:31">
      <c r="A249" s="5" t="s">
        <v>5</v>
      </c>
      <c r="B249" s="2">
        <v>0.625</v>
      </c>
      <c r="C249" s="2">
        <v>0.5</v>
      </c>
      <c r="D249" s="2" t="s">
        <v>14</v>
      </c>
      <c r="E249" s="2">
        <v>0</v>
      </c>
      <c r="F249" s="2">
        <v>-0.55127568999999998</v>
      </c>
      <c r="G249" s="2"/>
      <c r="H249" s="2">
        <f t="shared" si="34"/>
        <v>302</v>
      </c>
      <c r="I249">
        <f t="shared" si="44"/>
        <v>1.6556291390728477E-4</v>
      </c>
      <c r="J249" t="str">
        <f t="shared" si="40"/>
        <v>yes</v>
      </c>
      <c r="K249">
        <f t="shared" si="45"/>
        <v>3.3112582781456954E-5</v>
      </c>
      <c r="L249" t="str">
        <f t="shared" si="42"/>
        <v>yes!</v>
      </c>
      <c r="N249" t="str">
        <f t="shared" si="46"/>
        <v>large</v>
      </c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</row>
    <row r="250" spans="1:31">
      <c r="A250" s="22" t="s">
        <v>10</v>
      </c>
      <c r="B250" s="6">
        <v>0.375</v>
      </c>
      <c r="C250" s="6">
        <v>0</v>
      </c>
      <c r="D250" s="4" t="s">
        <v>14</v>
      </c>
      <c r="E250" s="6">
        <v>0</v>
      </c>
      <c r="F250" s="6">
        <v>-0.46992919008541401</v>
      </c>
      <c r="G250" s="6"/>
      <c r="H250" s="4">
        <f t="shared" si="34"/>
        <v>302</v>
      </c>
      <c r="I250" s="6">
        <f>0.05/H250</f>
        <v>1.6556291390728477E-4</v>
      </c>
      <c r="J250" s="6" t="str">
        <f t="shared" si="40"/>
        <v>yes</v>
      </c>
      <c r="K250" s="6">
        <f>0.01/H250</f>
        <v>3.3112582781456954E-5</v>
      </c>
      <c r="L250" s="6" t="str">
        <f t="shared" si="42"/>
        <v>yes!</v>
      </c>
      <c r="M250" s="6"/>
      <c r="N250" s="6" t="str">
        <f>IF(ABS(F250)&lt;0.11,"minimal effect",IF(ABS(F250)&lt;0.28,"small",IF(ABS(F250)&lt;0.43,"medium","large")))</f>
        <v>large</v>
      </c>
      <c r="O250" s="6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</row>
    <row r="251" spans="1:31">
      <c r="A251" s="1" t="s">
        <v>10</v>
      </c>
      <c r="B251">
        <v>0.375</v>
      </c>
      <c r="C251">
        <v>0.1</v>
      </c>
      <c r="D251" s="2" t="s">
        <v>14</v>
      </c>
      <c r="E251">
        <v>0</v>
      </c>
      <c r="F251">
        <v>-0.82491339067235103</v>
      </c>
      <c r="H251" s="2">
        <f t="shared" si="34"/>
        <v>302</v>
      </c>
      <c r="I251">
        <f>0.05/H251</f>
        <v>1.6556291390728477E-4</v>
      </c>
      <c r="J251" t="str">
        <f t="shared" si="40"/>
        <v>yes</v>
      </c>
      <c r="K251">
        <f>0.01/H251</f>
        <v>3.3112582781456954E-5</v>
      </c>
      <c r="L251" t="str">
        <f t="shared" si="42"/>
        <v>yes!</v>
      </c>
      <c r="N251" t="str">
        <f>IF(ABS(F251)&lt;0.11,"minimal effect",IF(ABS(F251)&lt;0.28,"small",IF(ABS(F251)&lt;0.43,"medium","large")))</f>
        <v>large</v>
      </c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</row>
    <row r="252" spans="1:31">
      <c r="A252" s="1" t="s">
        <v>10</v>
      </c>
      <c r="B252">
        <v>0.375</v>
      </c>
      <c r="C252">
        <v>0.2</v>
      </c>
      <c r="D252" s="2" t="s">
        <v>14</v>
      </c>
      <c r="E252">
        <v>0</v>
      </c>
      <c r="F252">
        <v>-0.89357886825095001</v>
      </c>
      <c r="H252" s="2">
        <f t="shared" si="34"/>
        <v>302</v>
      </c>
      <c r="I252">
        <f>0.05/H252</f>
        <v>1.6556291390728477E-4</v>
      </c>
      <c r="J252" t="str">
        <f t="shared" si="40"/>
        <v>yes</v>
      </c>
      <c r="K252">
        <f>0.01/H252</f>
        <v>3.3112582781456954E-5</v>
      </c>
      <c r="L252" t="str">
        <f t="shared" si="42"/>
        <v>yes!</v>
      </c>
      <c r="N252" t="str">
        <f>IF(ABS(F252)&lt;0.11,"minimal effect",IF(ABS(F252)&lt;0.28,"small",IF(ABS(F252)&lt;0.43,"medium","large")))</f>
        <v>large</v>
      </c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</row>
    <row r="253" spans="1:31">
      <c r="A253" s="1" t="s">
        <v>10</v>
      </c>
      <c r="B253">
        <v>0.375</v>
      </c>
      <c r="C253">
        <v>0.3</v>
      </c>
      <c r="D253" s="2" t="s">
        <v>14</v>
      </c>
      <c r="E253">
        <v>0</v>
      </c>
      <c r="F253">
        <v>-0.90278100165431496</v>
      </c>
      <c r="H253" s="2">
        <f t="shared" si="34"/>
        <v>302</v>
      </c>
      <c r="I253">
        <f t="shared" si="44"/>
        <v>1.6556291390728477E-4</v>
      </c>
      <c r="J253" t="str">
        <f t="shared" ref="J253:J304" si="47">IF(E253&lt;I253,"yes","no")</f>
        <v>yes</v>
      </c>
      <c r="K253">
        <f t="shared" ref="K253:K304" si="48">0.01/H253</f>
        <v>3.3112582781456954E-5</v>
      </c>
      <c r="L253" t="str">
        <f t="shared" ref="L253:L304" si="49">IF(E253&lt;K253,"yes!","")</f>
        <v>yes!</v>
      </c>
      <c r="N253" t="str">
        <f t="shared" ref="N253:N304" si="50">IF(ABS(F253)&lt;0.11,"minimal effect",IF(ABS(F253)&lt;0.28,"small",IF(ABS(F253)&lt;0.43,"medium","large")))</f>
        <v>large</v>
      </c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</row>
    <row r="254" spans="1:31">
      <c r="A254" s="1" t="s">
        <v>10</v>
      </c>
      <c r="B254">
        <v>0.375</v>
      </c>
      <c r="C254">
        <v>0.4</v>
      </c>
      <c r="D254" s="2" t="s">
        <v>14</v>
      </c>
      <c r="E254">
        <v>0</v>
      </c>
      <c r="F254">
        <v>-0.89974164286491998</v>
      </c>
      <c r="H254" s="2">
        <f t="shared" si="34"/>
        <v>302</v>
      </c>
      <c r="I254">
        <f t="shared" si="44"/>
        <v>1.6556291390728477E-4</v>
      </c>
      <c r="J254" t="str">
        <f t="shared" si="47"/>
        <v>yes</v>
      </c>
      <c r="K254">
        <f t="shared" si="48"/>
        <v>3.3112582781456954E-5</v>
      </c>
      <c r="L254" t="str">
        <f t="shared" si="49"/>
        <v>yes!</v>
      </c>
      <c r="N254" t="str">
        <f t="shared" si="50"/>
        <v>large</v>
      </c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</row>
    <row r="255" spans="1:31">
      <c r="A255" s="1" t="s">
        <v>10</v>
      </c>
      <c r="B255">
        <v>0.375</v>
      </c>
      <c r="C255">
        <v>0.5</v>
      </c>
      <c r="D255" s="2" t="s">
        <v>14</v>
      </c>
      <c r="E255">
        <v>0</v>
      </c>
      <c r="F255">
        <v>-0.89225447216752396</v>
      </c>
      <c r="H255" s="2">
        <f t="shared" si="34"/>
        <v>302</v>
      </c>
      <c r="I255">
        <f t="shared" si="44"/>
        <v>1.6556291390728477E-4</v>
      </c>
      <c r="J255" t="str">
        <f t="shared" si="47"/>
        <v>yes</v>
      </c>
      <c r="K255">
        <f t="shared" si="48"/>
        <v>3.3112582781456954E-5</v>
      </c>
      <c r="L255" t="str">
        <f t="shared" si="49"/>
        <v>yes!</v>
      </c>
      <c r="N255" t="str">
        <f t="shared" si="50"/>
        <v>large</v>
      </c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</row>
    <row r="256" spans="1:31">
      <c r="A256" s="1" t="s">
        <v>10</v>
      </c>
      <c r="B256">
        <v>0.375</v>
      </c>
      <c r="C256">
        <v>0.6</v>
      </c>
      <c r="D256" s="2" t="s">
        <v>14</v>
      </c>
      <c r="E256">
        <v>0</v>
      </c>
      <c r="F256">
        <v>-0.88656206830024797</v>
      </c>
      <c r="H256" s="2">
        <f t="shared" si="34"/>
        <v>302</v>
      </c>
      <c r="I256">
        <f t="shared" si="44"/>
        <v>1.6556291390728477E-4</v>
      </c>
      <c r="J256" t="str">
        <f t="shared" si="47"/>
        <v>yes</v>
      </c>
      <c r="K256">
        <f t="shared" si="48"/>
        <v>3.3112582781456954E-5</v>
      </c>
      <c r="L256" t="str">
        <f t="shared" si="49"/>
        <v>yes!</v>
      </c>
      <c r="N256" t="str">
        <f t="shared" si="50"/>
        <v>large</v>
      </c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</row>
    <row r="257" spans="1:31">
      <c r="A257" s="1" t="s">
        <v>10</v>
      </c>
      <c r="B257">
        <v>0.375</v>
      </c>
      <c r="C257">
        <v>0.7</v>
      </c>
      <c r="D257" s="2" t="s">
        <v>14</v>
      </c>
      <c r="E257">
        <v>0</v>
      </c>
      <c r="F257">
        <v>-0.87629863345938896</v>
      </c>
      <c r="H257" s="2">
        <f t="shared" si="34"/>
        <v>302</v>
      </c>
      <c r="I257">
        <f t="shared" si="44"/>
        <v>1.6556291390728477E-4</v>
      </c>
      <c r="J257" t="str">
        <f t="shared" si="47"/>
        <v>yes</v>
      </c>
      <c r="K257">
        <f t="shared" si="48"/>
        <v>3.3112582781456954E-5</v>
      </c>
      <c r="L257" t="str">
        <f t="shared" si="49"/>
        <v>yes!</v>
      </c>
      <c r="N257" t="str">
        <f t="shared" si="50"/>
        <v>large</v>
      </c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</row>
    <row r="258" spans="1:31">
      <c r="A258" s="1" t="s">
        <v>10</v>
      </c>
      <c r="B258">
        <v>0.375</v>
      </c>
      <c r="C258">
        <v>0.8</v>
      </c>
      <c r="D258" s="2" t="s">
        <v>14</v>
      </c>
      <c r="E258">
        <v>0</v>
      </c>
      <c r="F258">
        <v>-0.86780341250551996</v>
      </c>
      <c r="H258" s="2">
        <f t="shared" si="34"/>
        <v>302</v>
      </c>
      <c r="I258">
        <f t="shared" si="44"/>
        <v>1.6556291390728477E-4</v>
      </c>
      <c r="J258" t="str">
        <f t="shared" si="47"/>
        <v>yes</v>
      </c>
      <c r="K258">
        <f t="shared" si="48"/>
        <v>3.3112582781456954E-5</v>
      </c>
      <c r="L258" t="str">
        <f t="shared" si="49"/>
        <v>yes!</v>
      </c>
      <c r="N258" t="str">
        <f t="shared" si="50"/>
        <v>large</v>
      </c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</row>
    <row r="259" spans="1:31">
      <c r="A259" s="1" t="s">
        <v>10</v>
      </c>
      <c r="B259">
        <v>0.375</v>
      </c>
      <c r="C259">
        <v>0.9</v>
      </c>
      <c r="D259" s="2" t="s">
        <v>14</v>
      </c>
      <c r="E259">
        <v>0</v>
      </c>
      <c r="F259">
        <v>-0.852478508822475</v>
      </c>
      <c r="H259" s="2">
        <f t="shared" ref="H259:H304" si="51">ROWS(A259:A561)-1</f>
        <v>302</v>
      </c>
      <c r="I259">
        <f t="shared" si="44"/>
        <v>1.6556291390728477E-4</v>
      </c>
      <c r="J259" t="str">
        <f t="shared" si="47"/>
        <v>yes</v>
      </c>
      <c r="K259">
        <f t="shared" si="48"/>
        <v>3.3112582781456954E-5</v>
      </c>
      <c r="L259" t="str">
        <f t="shared" si="49"/>
        <v>yes!</v>
      </c>
      <c r="N259" t="str">
        <f t="shared" si="50"/>
        <v>large</v>
      </c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</row>
    <row r="260" spans="1:31">
      <c r="A260" s="1" t="s">
        <v>10</v>
      </c>
      <c r="B260">
        <v>0.375</v>
      </c>
      <c r="C260">
        <v>1</v>
      </c>
      <c r="D260" s="2" t="s">
        <v>14</v>
      </c>
      <c r="E260">
        <v>0</v>
      </c>
      <c r="F260">
        <v>-0.83481508936158499</v>
      </c>
      <c r="H260" s="2">
        <f t="shared" si="51"/>
        <v>302</v>
      </c>
      <c r="I260">
        <f t="shared" si="44"/>
        <v>1.6556291390728477E-4</v>
      </c>
      <c r="J260" t="str">
        <f t="shared" si="47"/>
        <v>yes</v>
      </c>
      <c r="K260">
        <f t="shared" si="48"/>
        <v>3.3112582781456954E-5</v>
      </c>
      <c r="L260" t="str">
        <f t="shared" si="49"/>
        <v>yes!</v>
      </c>
      <c r="N260" t="str">
        <f t="shared" si="50"/>
        <v>large</v>
      </c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</row>
    <row r="261" spans="1:31">
      <c r="A261" s="1" t="s">
        <v>10</v>
      </c>
      <c r="B261" s="31">
        <v>0.4375</v>
      </c>
      <c r="C261" s="31">
        <v>0</v>
      </c>
      <c r="D261" s="2" t="s">
        <v>14</v>
      </c>
      <c r="E261">
        <v>0</v>
      </c>
      <c r="F261">
        <v>-0.37355493572479997</v>
      </c>
      <c r="H261" s="2">
        <f t="shared" si="51"/>
        <v>302</v>
      </c>
      <c r="I261">
        <f t="shared" si="44"/>
        <v>1.6556291390728477E-4</v>
      </c>
      <c r="J261" t="str">
        <f t="shared" si="47"/>
        <v>yes</v>
      </c>
      <c r="K261">
        <f t="shared" si="48"/>
        <v>3.3112582781456954E-5</v>
      </c>
      <c r="L261" t="str">
        <f t="shared" si="49"/>
        <v>yes!</v>
      </c>
      <c r="N261" t="str">
        <f t="shared" si="50"/>
        <v>medium</v>
      </c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</row>
    <row r="262" spans="1:31">
      <c r="A262" s="1" t="s">
        <v>10</v>
      </c>
      <c r="B262">
        <v>0.4375</v>
      </c>
      <c r="C262">
        <v>0.1</v>
      </c>
      <c r="D262" s="2" t="s">
        <v>14</v>
      </c>
      <c r="E262">
        <v>0</v>
      </c>
      <c r="F262">
        <v>-0.73898192859660305</v>
      </c>
      <c r="H262" s="2">
        <f t="shared" si="51"/>
        <v>302</v>
      </c>
      <c r="I262">
        <f t="shared" si="44"/>
        <v>1.6556291390728477E-4</v>
      </c>
      <c r="J262" t="str">
        <f t="shared" si="47"/>
        <v>yes</v>
      </c>
      <c r="K262">
        <f t="shared" si="48"/>
        <v>3.3112582781456954E-5</v>
      </c>
      <c r="L262" t="str">
        <f t="shared" si="49"/>
        <v>yes!</v>
      </c>
      <c r="N262" t="str">
        <f t="shared" si="50"/>
        <v>large</v>
      </c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</row>
    <row r="263" spans="1:31">
      <c r="A263" s="1" t="s">
        <v>10</v>
      </c>
      <c r="B263">
        <v>0.4375</v>
      </c>
      <c r="C263">
        <v>0.2</v>
      </c>
      <c r="D263" s="2" t="s">
        <v>14</v>
      </c>
      <c r="E263">
        <v>0</v>
      </c>
      <c r="F263">
        <v>-0.82954223081362499</v>
      </c>
      <c r="H263" s="2">
        <f t="shared" si="51"/>
        <v>302</v>
      </c>
      <c r="I263">
        <f t="shared" si="44"/>
        <v>1.6556291390728477E-4</v>
      </c>
      <c r="J263" t="str">
        <f t="shared" si="47"/>
        <v>yes</v>
      </c>
      <c r="K263">
        <f t="shared" si="48"/>
        <v>3.3112582781456954E-5</v>
      </c>
      <c r="L263" t="str">
        <f t="shared" si="49"/>
        <v>yes!</v>
      </c>
      <c r="N263" t="str">
        <f t="shared" si="50"/>
        <v>large</v>
      </c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</row>
    <row r="264" spans="1:31">
      <c r="A264" s="1" t="s">
        <v>10</v>
      </c>
      <c r="B264">
        <v>0.4375</v>
      </c>
      <c r="C264">
        <v>0.3</v>
      </c>
      <c r="D264" s="2" t="s">
        <v>14</v>
      </c>
      <c r="E264">
        <v>0</v>
      </c>
      <c r="F264">
        <v>-0.84022117750134495</v>
      </c>
      <c r="H264" s="2">
        <f t="shared" si="51"/>
        <v>302</v>
      </c>
      <c r="I264">
        <f t="shared" si="44"/>
        <v>1.6556291390728477E-4</v>
      </c>
      <c r="J264" t="str">
        <f t="shared" si="47"/>
        <v>yes</v>
      </c>
      <c r="K264">
        <f t="shared" si="48"/>
        <v>3.3112582781456954E-5</v>
      </c>
      <c r="L264" t="str">
        <f t="shared" si="49"/>
        <v>yes!</v>
      </c>
      <c r="N264" t="str">
        <f t="shared" si="50"/>
        <v>large</v>
      </c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</row>
    <row r="265" spans="1:31">
      <c r="A265" s="1" t="s">
        <v>10</v>
      </c>
      <c r="B265">
        <v>0.4375</v>
      </c>
      <c r="C265">
        <v>0.4</v>
      </c>
      <c r="D265" s="2" t="s">
        <v>14</v>
      </c>
      <c r="E265">
        <v>0</v>
      </c>
      <c r="F265">
        <v>-0.83647751512796398</v>
      </c>
      <c r="H265" s="2">
        <f t="shared" si="51"/>
        <v>302</v>
      </c>
      <c r="I265">
        <f t="shared" si="44"/>
        <v>1.6556291390728477E-4</v>
      </c>
      <c r="J265" t="str">
        <f t="shared" si="47"/>
        <v>yes</v>
      </c>
      <c r="K265">
        <f t="shared" si="48"/>
        <v>3.3112582781456954E-5</v>
      </c>
      <c r="L265" t="str">
        <f t="shared" si="49"/>
        <v>yes!</v>
      </c>
      <c r="N265" t="str">
        <f t="shared" si="50"/>
        <v>large</v>
      </c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</row>
    <row r="266" spans="1:31">
      <c r="A266" s="1" t="s">
        <v>10</v>
      </c>
      <c r="B266">
        <v>0.4375</v>
      </c>
      <c r="C266">
        <v>0.5</v>
      </c>
      <c r="D266" s="2" t="s">
        <v>14</v>
      </c>
      <c r="E266">
        <v>0</v>
      </c>
      <c r="F266">
        <v>-0.82647003223832805</v>
      </c>
      <c r="H266" s="2">
        <f t="shared" si="51"/>
        <v>302</v>
      </c>
      <c r="I266">
        <f t="shared" si="44"/>
        <v>1.6556291390728477E-4</v>
      </c>
      <c r="J266" t="str">
        <f t="shared" si="47"/>
        <v>yes</v>
      </c>
      <c r="K266">
        <f t="shared" si="48"/>
        <v>3.3112582781456954E-5</v>
      </c>
      <c r="L266" t="str">
        <f t="shared" si="49"/>
        <v>yes!</v>
      </c>
      <c r="N266" t="str">
        <f t="shared" si="50"/>
        <v>large</v>
      </c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</row>
    <row r="267" spans="1:31">
      <c r="A267" s="1" t="s">
        <v>10</v>
      </c>
      <c r="B267">
        <v>0.4375</v>
      </c>
      <c r="C267">
        <v>0.6</v>
      </c>
      <c r="D267" s="2" t="s">
        <v>14</v>
      </c>
      <c r="E267">
        <v>0</v>
      </c>
      <c r="F267">
        <v>-0.81764432460323699</v>
      </c>
      <c r="H267" s="2">
        <f t="shared" si="51"/>
        <v>302</v>
      </c>
      <c r="I267">
        <f t="shared" si="44"/>
        <v>1.6556291390728477E-4</v>
      </c>
      <c r="J267" t="str">
        <f t="shared" si="47"/>
        <v>yes</v>
      </c>
      <c r="K267">
        <f t="shared" si="48"/>
        <v>3.3112582781456954E-5</v>
      </c>
      <c r="L267" t="str">
        <f t="shared" si="49"/>
        <v>yes!</v>
      </c>
      <c r="N267" t="str">
        <f t="shared" si="50"/>
        <v>large</v>
      </c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</row>
    <row r="268" spans="1:31">
      <c r="A268" s="1" t="s">
        <v>10</v>
      </c>
      <c r="B268">
        <v>0.4375</v>
      </c>
      <c r="C268">
        <v>0.7</v>
      </c>
      <c r="D268" s="2" t="s">
        <v>14</v>
      </c>
      <c r="E268">
        <v>0</v>
      </c>
      <c r="F268">
        <v>-0.80352329921602605</v>
      </c>
      <c r="H268" s="2">
        <f t="shared" si="51"/>
        <v>302</v>
      </c>
      <c r="I268">
        <f t="shared" si="44"/>
        <v>1.6556291390728477E-4</v>
      </c>
      <c r="J268" t="str">
        <f t="shared" si="47"/>
        <v>yes</v>
      </c>
      <c r="K268">
        <f t="shared" si="48"/>
        <v>3.3112582781456954E-5</v>
      </c>
      <c r="L268" t="str">
        <f t="shared" si="49"/>
        <v>yes!</v>
      </c>
      <c r="N268" t="str">
        <f t="shared" si="50"/>
        <v>large</v>
      </c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</row>
    <row r="269" spans="1:31">
      <c r="A269" s="1" t="s">
        <v>10</v>
      </c>
      <c r="B269">
        <v>0.4375</v>
      </c>
      <c r="C269">
        <v>0.8</v>
      </c>
      <c r="D269" s="2" t="s">
        <v>14</v>
      </c>
      <c r="E269">
        <v>0</v>
      </c>
      <c r="F269">
        <v>-0.78347859503843897</v>
      </c>
      <c r="H269" s="2">
        <f t="shared" si="51"/>
        <v>302</v>
      </c>
      <c r="I269">
        <f t="shared" si="44"/>
        <v>1.6556291390728477E-4</v>
      </c>
      <c r="J269" t="str">
        <f t="shared" si="47"/>
        <v>yes</v>
      </c>
      <c r="K269">
        <f t="shared" si="48"/>
        <v>3.3112582781456954E-5</v>
      </c>
      <c r="L269" t="str">
        <f t="shared" si="49"/>
        <v>yes!</v>
      </c>
      <c r="N269" t="str">
        <f t="shared" si="50"/>
        <v>large</v>
      </c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</row>
    <row r="270" spans="1:31">
      <c r="A270" s="1" t="s">
        <v>10</v>
      </c>
      <c r="B270">
        <v>0.4375</v>
      </c>
      <c r="C270">
        <v>0.9</v>
      </c>
      <c r="D270" s="2" t="s">
        <v>14</v>
      </c>
      <c r="E270">
        <v>0</v>
      </c>
      <c r="F270">
        <v>-0.75946807394758198</v>
      </c>
      <c r="H270" s="2">
        <f t="shared" si="51"/>
        <v>302</v>
      </c>
      <c r="I270">
        <f t="shared" si="44"/>
        <v>1.6556291390728477E-4</v>
      </c>
      <c r="J270" t="str">
        <f t="shared" si="47"/>
        <v>yes</v>
      </c>
      <c r="K270">
        <f t="shared" si="48"/>
        <v>3.3112582781456954E-5</v>
      </c>
      <c r="L270" t="str">
        <f t="shared" si="49"/>
        <v>yes!</v>
      </c>
      <c r="N270" t="str">
        <f t="shared" si="50"/>
        <v>large</v>
      </c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</row>
    <row r="271" spans="1:31">
      <c r="A271" s="1" t="s">
        <v>10</v>
      </c>
      <c r="B271">
        <v>0.4375</v>
      </c>
      <c r="C271">
        <v>1</v>
      </c>
      <c r="D271" s="2" t="s">
        <v>14</v>
      </c>
      <c r="E271">
        <v>0</v>
      </c>
      <c r="F271">
        <v>-0.70722539367715498</v>
      </c>
      <c r="H271" s="2">
        <f t="shared" si="51"/>
        <v>302</v>
      </c>
      <c r="I271">
        <f t="shared" si="44"/>
        <v>1.6556291390728477E-4</v>
      </c>
      <c r="J271" t="str">
        <f t="shared" si="47"/>
        <v>yes</v>
      </c>
      <c r="K271">
        <f t="shared" si="48"/>
        <v>3.3112582781456954E-5</v>
      </c>
      <c r="L271" t="str">
        <f t="shared" si="49"/>
        <v>yes!</v>
      </c>
      <c r="N271" t="str">
        <f t="shared" si="50"/>
        <v>large</v>
      </c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</row>
    <row r="272" spans="1:31">
      <c r="A272" s="1" t="s">
        <v>10</v>
      </c>
      <c r="B272" s="30">
        <v>0.5</v>
      </c>
      <c r="C272" s="30">
        <v>0</v>
      </c>
      <c r="D272" s="2" t="s">
        <v>14</v>
      </c>
      <c r="E272" s="21">
        <v>6.0037004094453998E-246</v>
      </c>
      <c r="F272">
        <v>-0.27486848360583499</v>
      </c>
      <c r="H272" s="2">
        <f t="shared" si="51"/>
        <v>302</v>
      </c>
      <c r="I272">
        <f t="shared" si="44"/>
        <v>1.6556291390728477E-4</v>
      </c>
      <c r="J272" t="str">
        <f t="shared" si="47"/>
        <v>yes</v>
      </c>
      <c r="K272">
        <f t="shared" si="48"/>
        <v>3.3112582781456954E-5</v>
      </c>
      <c r="L272" t="str">
        <f t="shared" si="49"/>
        <v>yes!</v>
      </c>
      <c r="N272" t="str">
        <f t="shared" si="50"/>
        <v>small</v>
      </c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</row>
    <row r="273" spans="1:31">
      <c r="A273" s="1" t="s">
        <v>10</v>
      </c>
      <c r="B273">
        <v>0.5</v>
      </c>
      <c r="C273">
        <v>0.1</v>
      </c>
      <c r="D273" s="2" t="s">
        <v>14</v>
      </c>
      <c r="E273">
        <v>0</v>
      </c>
      <c r="F273">
        <v>-0.63061664014915997</v>
      </c>
      <c r="H273" s="2">
        <f t="shared" si="51"/>
        <v>302</v>
      </c>
      <c r="I273">
        <f t="shared" si="44"/>
        <v>1.6556291390728477E-4</v>
      </c>
      <c r="J273" t="str">
        <f t="shared" si="47"/>
        <v>yes</v>
      </c>
      <c r="K273">
        <f t="shared" si="48"/>
        <v>3.3112582781456954E-5</v>
      </c>
      <c r="L273" t="str">
        <f t="shared" si="49"/>
        <v>yes!</v>
      </c>
      <c r="N273" t="str">
        <f t="shared" si="50"/>
        <v>large</v>
      </c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</row>
    <row r="274" spans="1:31">
      <c r="A274" s="1" t="s">
        <v>10</v>
      </c>
      <c r="B274">
        <v>0.5</v>
      </c>
      <c r="C274">
        <v>0.2</v>
      </c>
      <c r="D274" s="2" t="s">
        <v>14</v>
      </c>
      <c r="E274">
        <v>0</v>
      </c>
      <c r="F274">
        <v>-0.74654843917488101</v>
      </c>
      <c r="H274" s="2">
        <f t="shared" si="51"/>
        <v>302</v>
      </c>
      <c r="I274">
        <f t="shared" si="44"/>
        <v>1.6556291390728477E-4</v>
      </c>
      <c r="J274" t="str">
        <f t="shared" si="47"/>
        <v>yes</v>
      </c>
      <c r="K274">
        <f t="shared" si="48"/>
        <v>3.3112582781456954E-5</v>
      </c>
      <c r="L274" t="str">
        <f t="shared" si="49"/>
        <v>yes!</v>
      </c>
      <c r="N274" t="str">
        <f t="shared" si="50"/>
        <v>large</v>
      </c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</row>
    <row r="275" spans="1:31">
      <c r="A275" s="1" t="s">
        <v>10</v>
      </c>
      <c r="B275">
        <v>0.5</v>
      </c>
      <c r="C275">
        <v>0.3</v>
      </c>
      <c r="D275" s="2" t="s">
        <v>14</v>
      </c>
      <c r="E275">
        <v>0</v>
      </c>
      <c r="F275">
        <v>-0.76031064601477605</v>
      </c>
      <c r="H275" s="2">
        <f t="shared" si="51"/>
        <v>302</v>
      </c>
      <c r="I275">
        <f t="shared" si="44"/>
        <v>1.6556291390728477E-4</v>
      </c>
      <c r="J275" t="str">
        <f t="shared" si="47"/>
        <v>yes</v>
      </c>
      <c r="K275">
        <f t="shared" si="48"/>
        <v>3.3112582781456954E-5</v>
      </c>
      <c r="L275" t="str">
        <f t="shared" si="49"/>
        <v>yes!</v>
      </c>
      <c r="N275" t="str">
        <f t="shared" si="50"/>
        <v>large</v>
      </c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</row>
    <row r="276" spans="1:31">
      <c r="A276" s="1" t="s">
        <v>10</v>
      </c>
      <c r="B276">
        <v>0.5</v>
      </c>
      <c r="C276">
        <v>0.4</v>
      </c>
      <c r="D276" s="2" t="s">
        <v>14</v>
      </c>
      <c r="E276">
        <v>0</v>
      </c>
      <c r="F276">
        <v>-0.74899982845816904</v>
      </c>
      <c r="H276" s="2">
        <f t="shared" si="51"/>
        <v>302</v>
      </c>
      <c r="I276">
        <f t="shared" si="44"/>
        <v>1.6556291390728477E-4</v>
      </c>
      <c r="J276" t="str">
        <f t="shared" si="47"/>
        <v>yes</v>
      </c>
      <c r="K276">
        <f t="shared" si="48"/>
        <v>3.3112582781456954E-5</v>
      </c>
      <c r="L276" t="str">
        <f t="shared" si="49"/>
        <v>yes!</v>
      </c>
      <c r="N276" t="str">
        <f t="shared" si="50"/>
        <v>large</v>
      </c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</row>
    <row r="277" spans="1:31">
      <c r="A277" s="1" t="s">
        <v>10</v>
      </c>
      <c r="B277">
        <v>0.5</v>
      </c>
      <c r="C277">
        <v>0.5</v>
      </c>
      <c r="D277" s="2" t="s">
        <v>14</v>
      </c>
      <c r="E277">
        <v>0</v>
      </c>
      <c r="F277">
        <v>-0.74401850356847099</v>
      </c>
      <c r="H277" s="2">
        <f t="shared" si="51"/>
        <v>302</v>
      </c>
      <c r="I277">
        <f t="shared" si="44"/>
        <v>1.6556291390728477E-4</v>
      </c>
      <c r="J277" t="str">
        <f t="shared" si="47"/>
        <v>yes</v>
      </c>
      <c r="K277">
        <f t="shared" si="48"/>
        <v>3.3112582781456954E-5</v>
      </c>
      <c r="L277" t="str">
        <f t="shared" si="49"/>
        <v>yes!</v>
      </c>
      <c r="N277" t="str">
        <f t="shared" si="50"/>
        <v>large</v>
      </c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</row>
    <row r="278" spans="1:31">
      <c r="A278" s="1" t="s">
        <v>10</v>
      </c>
      <c r="B278">
        <v>0.5</v>
      </c>
      <c r="C278">
        <v>0.6</v>
      </c>
      <c r="D278" s="2" t="s">
        <v>14</v>
      </c>
      <c r="E278">
        <v>0</v>
      </c>
      <c r="F278">
        <v>-0.73116995143672403</v>
      </c>
      <c r="H278" s="2">
        <f t="shared" si="51"/>
        <v>302</v>
      </c>
      <c r="I278">
        <f t="shared" si="44"/>
        <v>1.6556291390728477E-4</v>
      </c>
      <c r="J278" t="str">
        <f t="shared" si="47"/>
        <v>yes</v>
      </c>
      <c r="K278">
        <f t="shared" si="48"/>
        <v>3.3112582781456954E-5</v>
      </c>
      <c r="L278" t="str">
        <f t="shared" si="49"/>
        <v>yes!</v>
      </c>
      <c r="N278" t="str">
        <f t="shared" si="50"/>
        <v>large</v>
      </c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</row>
    <row r="279" spans="1:31">
      <c r="A279" s="1" t="s">
        <v>10</v>
      </c>
      <c r="B279">
        <v>0.5</v>
      </c>
      <c r="C279">
        <v>0.7</v>
      </c>
      <c r="D279" s="2" t="s">
        <v>14</v>
      </c>
      <c r="E279">
        <v>0</v>
      </c>
      <c r="F279">
        <v>-0.71527694721441604</v>
      </c>
      <c r="H279" s="2">
        <f t="shared" si="51"/>
        <v>302</v>
      </c>
      <c r="I279">
        <f t="shared" si="44"/>
        <v>1.6556291390728477E-4</v>
      </c>
      <c r="J279" t="str">
        <f t="shared" si="47"/>
        <v>yes</v>
      </c>
      <c r="K279">
        <f t="shared" si="48"/>
        <v>3.3112582781456954E-5</v>
      </c>
      <c r="L279" t="str">
        <f t="shared" si="49"/>
        <v>yes!</v>
      </c>
      <c r="N279" t="str">
        <f t="shared" si="50"/>
        <v>large</v>
      </c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</row>
    <row r="280" spans="1:31">
      <c r="A280" s="1" t="s">
        <v>10</v>
      </c>
      <c r="B280">
        <v>0.5</v>
      </c>
      <c r="C280">
        <v>0.8</v>
      </c>
      <c r="D280" s="2" t="s">
        <v>14</v>
      </c>
      <c r="E280">
        <v>0</v>
      </c>
      <c r="F280">
        <v>-0.68933513979472705</v>
      </c>
      <c r="H280" s="2">
        <f t="shared" si="51"/>
        <v>302</v>
      </c>
      <c r="I280">
        <f t="shared" si="44"/>
        <v>1.6556291390728477E-4</v>
      </c>
      <c r="J280" t="str">
        <f t="shared" si="47"/>
        <v>yes</v>
      </c>
      <c r="K280">
        <f t="shared" si="48"/>
        <v>3.3112582781456954E-5</v>
      </c>
      <c r="L280" t="str">
        <f t="shared" si="49"/>
        <v>yes!</v>
      </c>
      <c r="N280" t="str">
        <f t="shared" si="50"/>
        <v>large</v>
      </c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</row>
    <row r="281" spans="1:31">
      <c r="A281" s="1" t="s">
        <v>10</v>
      </c>
      <c r="B281">
        <v>0.5</v>
      </c>
      <c r="C281">
        <v>0.9</v>
      </c>
      <c r="D281" s="2" t="s">
        <v>14</v>
      </c>
      <c r="E281">
        <v>0</v>
      </c>
      <c r="F281">
        <v>-0.64597124859294397</v>
      </c>
      <c r="H281" s="2">
        <f t="shared" si="51"/>
        <v>302</v>
      </c>
      <c r="I281">
        <f t="shared" si="44"/>
        <v>1.6556291390728477E-4</v>
      </c>
      <c r="J281" t="str">
        <f t="shared" si="47"/>
        <v>yes</v>
      </c>
      <c r="K281">
        <f t="shared" si="48"/>
        <v>3.3112582781456954E-5</v>
      </c>
      <c r="L281" t="str">
        <f t="shared" si="49"/>
        <v>yes!</v>
      </c>
      <c r="N281" t="str">
        <f t="shared" si="50"/>
        <v>large</v>
      </c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</row>
    <row r="282" spans="1:31">
      <c r="A282" s="1" t="s">
        <v>10</v>
      </c>
      <c r="B282">
        <v>0.5</v>
      </c>
      <c r="C282">
        <v>1</v>
      </c>
      <c r="D282" s="2" t="s">
        <v>14</v>
      </c>
      <c r="E282">
        <v>0</v>
      </c>
      <c r="F282">
        <v>-0.57524833209197301</v>
      </c>
      <c r="H282" s="2">
        <f t="shared" si="51"/>
        <v>302</v>
      </c>
      <c r="I282">
        <f t="shared" si="44"/>
        <v>1.6556291390728477E-4</v>
      </c>
      <c r="J282" t="str">
        <f t="shared" si="47"/>
        <v>yes</v>
      </c>
      <c r="K282">
        <f t="shared" si="48"/>
        <v>3.3112582781456954E-5</v>
      </c>
      <c r="L282" t="str">
        <f t="shared" si="49"/>
        <v>yes!</v>
      </c>
      <c r="N282" t="str">
        <f t="shared" si="50"/>
        <v>large</v>
      </c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</row>
    <row r="283" spans="1:31">
      <c r="A283" s="1" t="s">
        <v>10</v>
      </c>
      <c r="B283" s="30">
        <v>0.5625</v>
      </c>
      <c r="C283" s="30">
        <v>0</v>
      </c>
      <c r="D283" s="2" t="s">
        <v>14</v>
      </c>
      <c r="E283" s="21">
        <v>3.7893899577479198E-104</v>
      </c>
      <c r="F283">
        <v>-0.17634396752705001</v>
      </c>
      <c r="H283" s="2">
        <f t="shared" si="51"/>
        <v>302</v>
      </c>
      <c r="I283">
        <f t="shared" si="44"/>
        <v>1.6556291390728477E-4</v>
      </c>
      <c r="J283" t="str">
        <f t="shared" si="47"/>
        <v>yes</v>
      </c>
      <c r="K283">
        <f t="shared" si="48"/>
        <v>3.3112582781456954E-5</v>
      </c>
      <c r="L283" t="str">
        <f t="shared" si="49"/>
        <v>yes!</v>
      </c>
      <c r="N283" t="str">
        <f t="shared" si="50"/>
        <v>small</v>
      </c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</row>
    <row r="284" spans="1:31">
      <c r="A284" s="1" t="s">
        <v>10</v>
      </c>
      <c r="B284">
        <v>0.5625</v>
      </c>
      <c r="C284">
        <v>0.1</v>
      </c>
      <c r="D284" s="2" t="s">
        <v>14</v>
      </c>
      <c r="E284">
        <v>0</v>
      </c>
      <c r="F284">
        <v>-0.51806980586667895</v>
      </c>
      <c r="H284" s="2">
        <f t="shared" si="51"/>
        <v>302</v>
      </c>
      <c r="I284">
        <f t="shared" si="44"/>
        <v>1.6556291390728477E-4</v>
      </c>
      <c r="J284" t="str">
        <f t="shared" si="47"/>
        <v>yes</v>
      </c>
      <c r="K284">
        <f t="shared" si="48"/>
        <v>3.3112582781456954E-5</v>
      </c>
      <c r="L284" t="str">
        <f t="shared" si="49"/>
        <v>yes!</v>
      </c>
      <c r="N284" t="str">
        <f t="shared" si="50"/>
        <v>large</v>
      </c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</row>
    <row r="285" spans="1:31">
      <c r="A285" s="1" t="s">
        <v>10</v>
      </c>
      <c r="B285">
        <v>0.5625</v>
      </c>
      <c r="C285">
        <v>0.2</v>
      </c>
      <c r="D285" s="2" t="s">
        <v>14</v>
      </c>
      <c r="E285">
        <v>0</v>
      </c>
      <c r="F285">
        <v>-0.64311415019967599</v>
      </c>
      <c r="H285" s="2">
        <f t="shared" si="51"/>
        <v>302</v>
      </c>
      <c r="I285">
        <f t="shared" si="44"/>
        <v>1.6556291390728477E-4</v>
      </c>
      <c r="J285" t="str">
        <f t="shared" si="47"/>
        <v>yes</v>
      </c>
      <c r="K285">
        <f t="shared" si="48"/>
        <v>3.3112582781456954E-5</v>
      </c>
      <c r="L285" t="str">
        <f t="shared" si="49"/>
        <v>yes!</v>
      </c>
      <c r="N285" t="str">
        <f t="shared" si="50"/>
        <v>large</v>
      </c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</row>
    <row r="286" spans="1:31">
      <c r="A286" s="1" t="s">
        <v>10</v>
      </c>
      <c r="B286">
        <v>0.5625</v>
      </c>
      <c r="C286">
        <v>0.3</v>
      </c>
      <c r="D286" s="2" t="s">
        <v>14</v>
      </c>
      <c r="E286">
        <v>0</v>
      </c>
      <c r="F286">
        <v>-0.66160116168421401</v>
      </c>
      <c r="H286" s="2">
        <f t="shared" si="51"/>
        <v>302</v>
      </c>
      <c r="I286">
        <f t="shared" si="44"/>
        <v>1.6556291390728477E-4</v>
      </c>
      <c r="J286" t="str">
        <f t="shared" si="47"/>
        <v>yes</v>
      </c>
      <c r="K286">
        <f t="shared" si="48"/>
        <v>3.3112582781456954E-5</v>
      </c>
      <c r="L286" t="str">
        <f t="shared" si="49"/>
        <v>yes!</v>
      </c>
      <c r="N286" t="str">
        <f t="shared" si="50"/>
        <v>large</v>
      </c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</row>
    <row r="287" spans="1:31">
      <c r="A287" s="1" t="s">
        <v>10</v>
      </c>
      <c r="B287">
        <v>0.5625</v>
      </c>
      <c r="C287">
        <v>0.4</v>
      </c>
      <c r="D287" s="2" t="s">
        <v>14</v>
      </c>
      <c r="E287">
        <v>0</v>
      </c>
      <c r="F287">
        <v>-0.65914602819941903</v>
      </c>
      <c r="H287" s="2">
        <f t="shared" si="51"/>
        <v>302</v>
      </c>
      <c r="I287">
        <f t="shared" si="44"/>
        <v>1.6556291390728477E-4</v>
      </c>
      <c r="J287" t="str">
        <f t="shared" si="47"/>
        <v>yes</v>
      </c>
      <c r="K287">
        <f t="shared" si="48"/>
        <v>3.3112582781456954E-5</v>
      </c>
      <c r="L287" t="str">
        <f t="shared" si="49"/>
        <v>yes!</v>
      </c>
      <c r="N287" t="str">
        <f t="shared" si="50"/>
        <v>large</v>
      </c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</row>
    <row r="288" spans="1:31">
      <c r="A288" s="1" t="s">
        <v>10</v>
      </c>
      <c r="B288">
        <v>0.5625</v>
      </c>
      <c r="C288">
        <v>0.5</v>
      </c>
      <c r="D288" s="2" t="s">
        <v>14</v>
      </c>
      <c r="E288">
        <v>0</v>
      </c>
      <c r="F288">
        <v>-0.64851345542976302</v>
      </c>
      <c r="H288" s="2">
        <f t="shared" si="51"/>
        <v>302</v>
      </c>
      <c r="I288">
        <f t="shared" si="44"/>
        <v>1.6556291390728477E-4</v>
      </c>
      <c r="J288" t="str">
        <f t="shared" si="47"/>
        <v>yes</v>
      </c>
      <c r="K288">
        <f t="shared" si="48"/>
        <v>3.3112582781456954E-5</v>
      </c>
      <c r="L288" t="str">
        <f t="shared" si="49"/>
        <v>yes!</v>
      </c>
      <c r="N288" t="str">
        <f t="shared" si="50"/>
        <v>large</v>
      </c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</row>
    <row r="289" spans="1:31">
      <c r="A289" s="1" t="s">
        <v>10</v>
      </c>
      <c r="B289">
        <v>0.5625</v>
      </c>
      <c r="C289">
        <v>0.6</v>
      </c>
      <c r="D289" s="2" t="s">
        <v>14</v>
      </c>
      <c r="E289">
        <v>0</v>
      </c>
      <c r="F289">
        <v>-0.63035784058069</v>
      </c>
      <c r="H289" s="2">
        <f t="shared" si="51"/>
        <v>302</v>
      </c>
      <c r="I289">
        <f t="shared" si="44"/>
        <v>1.6556291390728477E-4</v>
      </c>
      <c r="J289" t="str">
        <f t="shared" si="47"/>
        <v>yes</v>
      </c>
      <c r="K289">
        <f t="shared" si="48"/>
        <v>3.3112582781456954E-5</v>
      </c>
      <c r="L289" t="str">
        <f t="shared" si="49"/>
        <v>yes!</v>
      </c>
      <c r="N289" t="str">
        <f t="shared" si="50"/>
        <v>large</v>
      </c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</row>
    <row r="290" spans="1:31">
      <c r="A290" s="1" t="s">
        <v>10</v>
      </c>
      <c r="B290">
        <v>0.5625</v>
      </c>
      <c r="C290">
        <v>0.7</v>
      </c>
      <c r="D290" s="2" t="s">
        <v>14</v>
      </c>
      <c r="E290">
        <v>0</v>
      </c>
      <c r="F290">
        <v>-0.60813124135248098</v>
      </c>
      <c r="H290" s="2">
        <f t="shared" si="51"/>
        <v>302</v>
      </c>
      <c r="I290">
        <f t="shared" ref="I290:I304" si="52">0.05/H290</f>
        <v>1.6556291390728477E-4</v>
      </c>
      <c r="J290" t="str">
        <f t="shared" si="47"/>
        <v>yes</v>
      </c>
      <c r="K290">
        <f t="shared" si="48"/>
        <v>3.3112582781456954E-5</v>
      </c>
      <c r="L290" t="str">
        <f t="shared" si="49"/>
        <v>yes!</v>
      </c>
      <c r="N290" t="str">
        <f t="shared" si="50"/>
        <v>large</v>
      </c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</row>
    <row r="291" spans="1:31">
      <c r="A291" s="1" t="s">
        <v>10</v>
      </c>
      <c r="B291">
        <v>0.5625</v>
      </c>
      <c r="C291">
        <v>0.8</v>
      </c>
      <c r="D291" s="2" t="s">
        <v>14</v>
      </c>
      <c r="E291">
        <v>0</v>
      </c>
      <c r="F291">
        <v>-0.58073098062570205</v>
      </c>
      <c r="H291" s="2">
        <f t="shared" si="51"/>
        <v>302</v>
      </c>
      <c r="I291">
        <f t="shared" si="52"/>
        <v>1.6556291390728477E-4</v>
      </c>
      <c r="J291" t="str">
        <f t="shared" si="47"/>
        <v>yes</v>
      </c>
      <c r="K291">
        <f t="shared" si="48"/>
        <v>3.3112582781456954E-5</v>
      </c>
      <c r="L291" t="str">
        <f t="shared" si="49"/>
        <v>yes!</v>
      </c>
      <c r="N291" t="str">
        <f t="shared" si="50"/>
        <v>large</v>
      </c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</row>
    <row r="292" spans="1:31">
      <c r="A292" s="1" t="s">
        <v>10</v>
      </c>
      <c r="B292">
        <v>0.5625</v>
      </c>
      <c r="C292">
        <v>0.9</v>
      </c>
      <c r="D292" s="2" t="s">
        <v>14</v>
      </c>
      <c r="E292">
        <v>0</v>
      </c>
      <c r="F292">
        <v>-0.52847738457115401</v>
      </c>
      <c r="H292" s="2">
        <f t="shared" si="51"/>
        <v>302</v>
      </c>
      <c r="I292">
        <f t="shared" si="52"/>
        <v>1.6556291390728477E-4</v>
      </c>
      <c r="J292" t="str">
        <f t="shared" si="47"/>
        <v>yes</v>
      </c>
      <c r="K292">
        <f t="shared" si="48"/>
        <v>3.3112582781456954E-5</v>
      </c>
      <c r="L292" t="str">
        <f t="shared" si="49"/>
        <v>yes!</v>
      </c>
      <c r="N292" t="str">
        <f t="shared" si="50"/>
        <v>large</v>
      </c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</row>
    <row r="293" spans="1:31">
      <c r="A293" s="1" t="s">
        <v>10</v>
      </c>
      <c r="B293" s="31">
        <v>0.5625</v>
      </c>
      <c r="C293" s="31">
        <v>1</v>
      </c>
      <c r="D293" s="2" t="s">
        <v>14</v>
      </c>
      <c r="E293">
        <v>0</v>
      </c>
      <c r="F293">
        <v>-0.41836442322044198</v>
      </c>
      <c r="H293" s="2">
        <f t="shared" si="51"/>
        <v>302</v>
      </c>
      <c r="I293">
        <f t="shared" si="52"/>
        <v>1.6556291390728477E-4</v>
      </c>
      <c r="J293" t="str">
        <f t="shared" si="47"/>
        <v>yes</v>
      </c>
      <c r="K293">
        <f t="shared" si="48"/>
        <v>3.3112582781456954E-5</v>
      </c>
      <c r="L293" t="str">
        <f t="shared" si="49"/>
        <v>yes!</v>
      </c>
      <c r="N293" t="str">
        <f t="shared" si="50"/>
        <v>medium</v>
      </c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</row>
    <row r="294" spans="1:31">
      <c r="A294" s="1" t="s">
        <v>10</v>
      </c>
      <c r="B294" s="30">
        <v>0.625</v>
      </c>
      <c r="C294" s="30">
        <v>0</v>
      </c>
      <c r="D294" s="2" t="s">
        <v>14</v>
      </c>
      <c r="E294" s="21">
        <v>1.9093142835941499E-75</v>
      </c>
      <c r="F294">
        <v>-0.147026956547152</v>
      </c>
      <c r="H294" s="2">
        <f t="shared" si="51"/>
        <v>302</v>
      </c>
      <c r="I294">
        <f t="shared" si="52"/>
        <v>1.6556291390728477E-4</v>
      </c>
      <c r="J294" t="str">
        <f t="shared" si="47"/>
        <v>yes</v>
      </c>
      <c r="K294">
        <f t="shared" si="48"/>
        <v>3.3112582781456954E-5</v>
      </c>
      <c r="L294" t="str">
        <f t="shared" si="49"/>
        <v>yes!</v>
      </c>
      <c r="N294" t="str">
        <f t="shared" si="50"/>
        <v>small</v>
      </c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</row>
    <row r="295" spans="1:31">
      <c r="A295" s="1" t="s">
        <v>10</v>
      </c>
      <c r="B295" s="31">
        <v>0.625</v>
      </c>
      <c r="C295" s="31">
        <v>0.1</v>
      </c>
      <c r="D295" s="2" t="s">
        <v>14</v>
      </c>
      <c r="E295">
        <v>0</v>
      </c>
      <c r="F295">
        <v>-0.41560137795712099</v>
      </c>
      <c r="H295" s="2">
        <f t="shared" si="51"/>
        <v>302</v>
      </c>
      <c r="I295">
        <f t="shared" si="52"/>
        <v>1.6556291390728477E-4</v>
      </c>
      <c r="J295" t="str">
        <f t="shared" si="47"/>
        <v>yes</v>
      </c>
      <c r="K295">
        <f t="shared" si="48"/>
        <v>3.3112582781456954E-5</v>
      </c>
      <c r="L295" t="str">
        <f t="shared" si="49"/>
        <v>yes!</v>
      </c>
      <c r="N295" t="str">
        <f t="shared" si="50"/>
        <v>medium</v>
      </c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</row>
    <row r="296" spans="1:31">
      <c r="A296" s="1" t="s">
        <v>10</v>
      </c>
      <c r="B296">
        <v>0.625</v>
      </c>
      <c r="C296">
        <v>0.2</v>
      </c>
      <c r="D296" s="2" t="s">
        <v>14</v>
      </c>
      <c r="E296">
        <v>0</v>
      </c>
      <c r="F296">
        <v>-0.52472237880522798</v>
      </c>
      <c r="H296" s="2">
        <f t="shared" si="51"/>
        <v>302</v>
      </c>
      <c r="I296">
        <f t="shared" si="52"/>
        <v>1.6556291390728477E-4</v>
      </c>
      <c r="J296" t="str">
        <f t="shared" si="47"/>
        <v>yes</v>
      </c>
      <c r="K296">
        <f t="shared" si="48"/>
        <v>3.3112582781456954E-5</v>
      </c>
      <c r="L296" t="str">
        <f t="shared" si="49"/>
        <v>yes!</v>
      </c>
      <c r="N296" t="str">
        <f t="shared" si="50"/>
        <v>large</v>
      </c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</row>
    <row r="297" spans="1:31">
      <c r="A297" s="1" t="s">
        <v>10</v>
      </c>
      <c r="B297">
        <v>0.625</v>
      </c>
      <c r="C297">
        <v>0.3</v>
      </c>
      <c r="D297" s="2" t="s">
        <v>14</v>
      </c>
      <c r="E297">
        <v>0</v>
      </c>
      <c r="F297">
        <v>-0.55581721044265797</v>
      </c>
      <c r="H297" s="2">
        <f t="shared" si="51"/>
        <v>302</v>
      </c>
      <c r="I297">
        <f t="shared" si="52"/>
        <v>1.6556291390728477E-4</v>
      </c>
      <c r="J297" t="str">
        <f t="shared" si="47"/>
        <v>yes</v>
      </c>
      <c r="K297">
        <f t="shared" si="48"/>
        <v>3.3112582781456954E-5</v>
      </c>
      <c r="L297" t="str">
        <f t="shared" si="49"/>
        <v>yes!</v>
      </c>
      <c r="N297" t="str">
        <f t="shared" si="50"/>
        <v>large</v>
      </c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</row>
    <row r="298" spans="1:31">
      <c r="A298" s="1" t="s">
        <v>10</v>
      </c>
      <c r="B298">
        <v>0.625</v>
      </c>
      <c r="C298">
        <v>0.4</v>
      </c>
      <c r="D298" s="2" t="s">
        <v>14</v>
      </c>
      <c r="E298">
        <v>0</v>
      </c>
      <c r="F298">
        <v>-0.54851592988948605</v>
      </c>
      <c r="H298" s="2">
        <f t="shared" si="51"/>
        <v>302</v>
      </c>
      <c r="I298">
        <f t="shared" si="52"/>
        <v>1.6556291390728477E-4</v>
      </c>
      <c r="J298" t="str">
        <f t="shared" si="47"/>
        <v>yes</v>
      </c>
      <c r="K298">
        <f t="shared" si="48"/>
        <v>3.3112582781456954E-5</v>
      </c>
      <c r="L298" t="str">
        <f t="shared" si="49"/>
        <v>yes!</v>
      </c>
      <c r="N298" t="str">
        <f t="shared" si="50"/>
        <v>large</v>
      </c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</row>
    <row r="299" spans="1:31">
      <c r="A299" s="1" t="s">
        <v>10</v>
      </c>
      <c r="B299">
        <v>0.625</v>
      </c>
      <c r="C299">
        <v>0.5</v>
      </c>
      <c r="D299" s="2" t="s">
        <v>14</v>
      </c>
      <c r="E299">
        <v>0</v>
      </c>
      <c r="F299">
        <v>-0.53748598094547395</v>
      </c>
      <c r="H299" s="2">
        <f t="shared" si="51"/>
        <v>302</v>
      </c>
      <c r="I299">
        <f t="shared" si="52"/>
        <v>1.6556291390728477E-4</v>
      </c>
      <c r="J299" t="str">
        <f t="shared" si="47"/>
        <v>yes</v>
      </c>
      <c r="K299">
        <f t="shared" si="48"/>
        <v>3.3112582781456954E-5</v>
      </c>
      <c r="L299" t="str">
        <f t="shared" si="49"/>
        <v>yes!</v>
      </c>
      <c r="N299" t="str">
        <f t="shared" si="50"/>
        <v>large</v>
      </c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</row>
    <row r="300" spans="1:31">
      <c r="A300" s="1" t="s">
        <v>10</v>
      </c>
      <c r="B300">
        <v>0.625</v>
      </c>
      <c r="C300">
        <v>0.6</v>
      </c>
      <c r="D300" s="2" t="s">
        <v>14</v>
      </c>
      <c r="E300">
        <v>0</v>
      </c>
      <c r="F300">
        <v>-0.52112539788783396</v>
      </c>
      <c r="H300" s="2">
        <f t="shared" si="51"/>
        <v>302</v>
      </c>
      <c r="I300">
        <f t="shared" si="52"/>
        <v>1.6556291390728477E-4</v>
      </c>
      <c r="J300" t="str">
        <f t="shared" si="47"/>
        <v>yes</v>
      </c>
      <c r="K300">
        <f t="shared" si="48"/>
        <v>3.3112582781456954E-5</v>
      </c>
      <c r="L300" t="str">
        <f t="shared" si="49"/>
        <v>yes!</v>
      </c>
      <c r="N300" t="str">
        <f t="shared" si="50"/>
        <v>large</v>
      </c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</row>
    <row r="301" spans="1:31">
      <c r="A301" s="1" t="s">
        <v>10</v>
      </c>
      <c r="B301">
        <v>0.625</v>
      </c>
      <c r="C301">
        <v>0.7</v>
      </c>
      <c r="D301" s="2" t="s">
        <v>14</v>
      </c>
      <c r="E301">
        <v>0</v>
      </c>
      <c r="F301">
        <v>-0.49873222999571498</v>
      </c>
      <c r="H301" s="2">
        <f t="shared" si="51"/>
        <v>302</v>
      </c>
      <c r="I301">
        <f t="shared" si="52"/>
        <v>1.6556291390728477E-4</v>
      </c>
      <c r="J301" t="str">
        <f t="shared" si="47"/>
        <v>yes</v>
      </c>
      <c r="K301">
        <f t="shared" si="48"/>
        <v>3.3112582781456954E-5</v>
      </c>
      <c r="L301" t="str">
        <f t="shared" si="49"/>
        <v>yes!</v>
      </c>
      <c r="N301" t="str">
        <f t="shared" si="50"/>
        <v>large</v>
      </c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</row>
    <row r="302" spans="1:31">
      <c r="A302" s="1" t="s">
        <v>10</v>
      </c>
      <c r="B302">
        <v>0.625</v>
      </c>
      <c r="C302">
        <v>0.8</v>
      </c>
      <c r="D302" s="2" t="s">
        <v>14</v>
      </c>
      <c r="E302">
        <v>0</v>
      </c>
      <c r="F302">
        <v>-0.47139527200186299</v>
      </c>
      <c r="H302" s="2">
        <f t="shared" si="51"/>
        <v>302</v>
      </c>
      <c r="I302">
        <f t="shared" si="52"/>
        <v>1.6556291390728477E-4</v>
      </c>
      <c r="J302" t="str">
        <f t="shared" si="47"/>
        <v>yes</v>
      </c>
      <c r="K302">
        <f t="shared" si="48"/>
        <v>3.3112582781456954E-5</v>
      </c>
      <c r="L302" t="str">
        <f t="shared" si="49"/>
        <v>yes!</v>
      </c>
      <c r="N302" t="str">
        <f t="shared" si="50"/>
        <v>large</v>
      </c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</row>
    <row r="303" spans="1:31">
      <c r="A303" s="1" t="s">
        <v>10</v>
      </c>
      <c r="B303" s="31">
        <v>0.625</v>
      </c>
      <c r="C303" s="31">
        <v>0.9</v>
      </c>
      <c r="D303" s="2" t="s">
        <v>14</v>
      </c>
      <c r="E303">
        <v>0</v>
      </c>
      <c r="F303">
        <v>-0.42098293125083902</v>
      </c>
      <c r="H303" s="2">
        <f t="shared" si="51"/>
        <v>302</v>
      </c>
      <c r="I303">
        <f t="shared" si="52"/>
        <v>1.6556291390728477E-4</v>
      </c>
      <c r="J303" t="str">
        <f t="shared" si="47"/>
        <v>yes</v>
      </c>
      <c r="K303">
        <f t="shared" si="48"/>
        <v>3.3112582781456954E-5</v>
      </c>
      <c r="L303" t="str">
        <f t="shared" si="49"/>
        <v>yes!</v>
      </c>
      <c r="N303" t="str">
        <f t="shared" si="50"/>
        <v>medium</v>
      </c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</row>
    <row r="304" spans="1:31">
      <c r="A304" s="1" t="s">
        <v>10</v>
      </c>
      <c r="B304" s="31">
        <v>0.625</v>
      </c>
      <c r="C304" s="31">
        <v>1</v>
      </c>
      <c r="D304" s="2" t="s">
        <v>14</v>
      </c>
      <c r="E304">
        <v>0</v>
      </c>
      <c r="F304">
        <v>-0.291876988605481</v>
      </c>
      <c r="H304" s="2">
        <f t="shared" si="51"/>
        <v>302</v>
      </c>
      <c r="I304">
        <f t="shared" si="52"/>
        <v>1.6556291390728477E-4</v>
      </c>
      <c r="J304" t="str">
        <f t="shared" si="47"/>
        <v>yes</v>
      </c>
      <c r="K304">
        <f t="shared" si="48"/>
        <v>3.3112582781456954E-5</v>
      </c>
      <c r="L304" t="str">
        <f t="shared" si="49"/>
        <v>yes!</v>
      </c>
      <c r="N304" t="str">
        <f t="shared" si="50"/>
        <v>medium</v>
      </c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</row>
    <row r="305" spans="1:3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</row>
    <row r="306" spans="1:31"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</row>
    <row r="307" spans="1:31"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</row>
    <row r="308" spans="1:31"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</row>
    <row r="309" spans="1:31"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</row>
    <row r="310" spans="1:31"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</row>
    <row r="311" spans="1:31"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</row>
    <row r="312" spans="1:31"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</row>
    <row r="313" spans="1:31"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</row>
    <row r="314" spans="1:31"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</row>
    <row r="315" spans="1:31"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</row>
  </sheetData>
  <sortState xmlns:xlrd2="http://schemas.microsoft.com/office/spreadsheetml/2017/richdata2" ref="AF106:AI126">
    <sortCondition ref="AF106:AF126"/>
    <sortCondition ref="AG106:AG126"/>
  </sortState>
  <conditionalFormatting sqref="F2:F304">
    <cfRule type="cellIs" dxfId="29" priority="1" operator="greaterThan">
      <formula>0</formula>
    </cfRule>
  </conditionalFormatting>
  <conditionalFormatting sqref="J2:J304">
    <cfRule type="cellIs" dxfId="28" priority="79" operator="equal">
      <formula>"yes"</formula>
    </cfRule>
  </conditionalFormatting>
  <conditionalFormatting sqref="L2:L304">
    <cfRule type="cellIs" dxfId="27" priority="78" operator="equal">
      <formula>"yes!"</formula>
    </cfRule>
  </conditionalFormatting>
  <conditionalFormatting sqref="N2:N304">
    <cfRule type="cellIs" dxfId="26" priority="75" operator="equal">
      <formula>"medium"</formula>
    </cfRule>
    <cfRule type="cellIs" dxfId="25" priority="76" operator="equal">
      <formula>"small"</formula>
    </cfRule>
    <cfRule type="cellIs" dxfId="24" priority="77" operator="equal">
      <formula>"minimal effect"</formula>
    </cfRule>
  </conditionalFormatting>
  <conditionalFormatting sqref="V233:V304">
    <cfRule type="cellIs" dxfId="23" priority="16" operator="greaterThan">
      <formula>0</formula>
    </cfRule>
  </conditionalFormatting>
  <conditionalFormatting sqref="Y2:Y24 Y26:Y41 BB28:BB29 Y43:Y47 Y49:Y70 AX65:AX90 AQ71:AQ89 Y72:Y75 Y77:Y78 Y80:Y83 AK97:AK132 AO131 AO134 AO151:AO152 AO159:AO205">
    <cfRule type="cellIs" dxfId="22" priority="63" operator="equal">
      <formula>"no"</formula>
    </cfRule>
  </conditionalFormatting>
  <conditionalFormatting sqref="Y85:Y304">
    <cfRule type="cellIs" dxfId="21" priority="17" operator="equal">
      <formula>"no"</formula>
    </cfRule>
  </conditionalFormatting>
  <conditionalFormatting sqref="Z2:Z24 Z26:Z41 Z43:Z47 Z49:Z70 AR71:AR89 Z72:Z75 Z77:Z78 Z80:Z83 AL97:AL132 AP131 AP134 AP151:AP152 AP159:AP205">
    <cfRule type="cellIs" dxfId="20" priority="64" operator="equal">
      <formula>"medium"</formula>
    </cfRule>
    <cfRule type="cellIs" dxfId="19" priority="65" operator="equal">
      <formula>"small"</formula>
    </cfRule>
    <cfRule type="cellIs" dxfId="18" priority="66" operator="equal">
      <formula>"minimal effect"</formula>
    </cfRule>
    <cfRule type="cellIs" dxfId="17" priority="67" operator="equal">
      <formula>"no effect"</formula>
    </cfRule>
  </conditionalFormatting>
  <conditionalFormatting sqref="Z85:Z304">
    <cfRule type="cellIs" dxfId="16" priority="18" operator="equal">
      <formula>"medium"</formula>
    </cfRule>
    <cfRule type="cellIs" dxfId="15" priority="19" operator="equal">
      <formula>"small"</formula>
    </cfRule>
    <cfRule type="cellIs" dxfId="14" priority="20" operator="equal">
      <formula>"minimal effect"</formula>
    </cfRule>
    <cfRule type="cellIs" dxfId="13" priority="21" operator="equal">
      <formula>"no effect"</formula>
    </cfRule>
  </conditionalFormatting>
  <conditionalFormatting sqref="AD2:AD24 AD26:AD39">
    <cfRule type="cellIs" dxfId="12" priority="69" operator="equal">
      <formula>"no"</formula>
    </cfRule>
  </conditionalFormatting>
  <conditionalFormatting sqref="AD133">
    <cfRule type="cellIs" dxfId="11" priority="45" operator="equal">
      <formula>"no"</formula>
    </cfRule>
  </conditionalFormatting>
  <conditionalFormatting sqref="AE2:AE24 AE26:AE39">
    <cfRule type="cellIs" dxfId="10" priority="70" operator="equal">
      <formula>"medium"</formula>
    </cfRule>
    <cfRule type="cellIs" dxfId="9" priority="71" operator="equal">
      <formula>"small"</formula>
    </cfRule>
    <cfRule type="cellIs" dxfId="8" priority="72" operator="equal">
      <formula>"minimal effect"</formula>
    </cfRule>
    <cfRule type="cellIs" dxfId="7" priority="73" operator="equal">
      <formula>"no effect"</formula>
    </cfRule>
  </conditionalFormatting>
  <conditionalFormatting sqref="AI206:AI232">
    <cfRule type="cellIs" dxfId="6" priority="10" operator="greaterThan">
      <formula>0</formula>
    </cfRule>
  </conditionalFormatting>
  <conditionalFormatting sqref="AN71:AN88">
    <cfRule type="cellIs" dxfId="5" priority="28" operator="greaterThan">
      <formula>0</formula>
    </cfRule>
  </conditionalFormatting>
  <conditionalFormatting sqref="AY28:AY29 AU65:AU90 V69:V70 V72:V75 V77:V78 V80:V83 V85:V91 AH97:AH104 AL134 AL151:AL152 AL159:AL205">
    <cfRule type="cellIs" dxfId="4" priority="57" operator="greaterThan">
      <formula>0</formula>
    </cfRule>
  </conditionalFormatting>
  <conditionalFormatting sqref="BC28:BC54">
    <cfRule type="cellIs" dxfId="3" priority="41" operator="equal">
      <formula>"medium"</formula>
    </cfRule>
    <cfRule type="cellIs" dxfId="2" priority="42" operator="equal">
      <formula>"small"</formula>
    </cfRule>
    <cfRule type="cellIs" dxfId="1" priority="43" operator="equal">
      <formula>"minimal effect"</formula>
    </cfRule>
    <cfRule type="cellIs" dxfId="0" priority="44" operator="equal">
      <formula>"no effect"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Johnson</dc:creator>
  <cp:lastModifiedBy>Kai Johnson</cp:lastModifiedBy>
  <dcterms:created xsi:type="dcterms:W3CDTF">2026-04-09T07:22:51Z</dcterms:created>
  <dcterms:modified xsi:type="dcterms:W3CDTF">2026-04-30T20:02:17Z</dcterms:modified>
</cp:coreProperties>
</file>